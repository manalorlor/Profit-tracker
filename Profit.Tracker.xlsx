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13_ncr:1_{14789990-2386-471E-AA23-1B6AF5BC759F}" xr6:coauthVersionLast="47" xr6:coauthVersionMax="47" xr10:uidLastSave="{00000000-0000-0000-0000-000000000000}"/>
  <bookViews>
    <workbookView xWindow="-120" yWindow="-120" windowWidth="20730" windowHeight="11310" activeTab="2" xr2:uid="{AF29BD4C-206E-4589-9A6C-1ACEA21EFF76}"/>
  </bookViews>
  <sheets>
    <sheet name="DATA" sheetId="1" r:id="rId1"/>
    <sheet name="PivotTable" sheetId="2" r:id="rId2"/>
    <sheet name="Dashboard" sheetId="3" r:id="rId3"/>
  </sheets>
  <definedNames>
    <definedName name="_xlnm._FilterDatabase" localSheetId="0" hidden="1">DATA!$A$1:$K$177</definedName>
    <definedName name="Slicer_Month">#N/A</definedName>
  </definedNames>
  <calcPr calcId="191029"/>
  <pivotCaches>
    <pivotCache cacheId="3" r:id="rId4"/>
    <pivotCache cacheId="4" r:id="rId5"/>
    <pivotCache cacheId="5" r:id="rId6"/>
  </pivotCaches>
  <fileRecoveryPr repairLoad="1"/>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9" i="2" l="1"/>
  <c r="B3" i="2"/>
  <c r="E2" i="2"/>
  <c r="E1" i="2"/>
  <c r="B1" i="2"/>
  <c r="G177" i="1"/>
  <c r="F175" i="1"/>
  <c r="E175" i="1"/>
  <c r="H172" i="1"/>
  <c r="G172" i="1"/>
  <c r="H171" i="1"/>
  <c r="G171" i="1"/>
  <c r="H170" i="1"/>
  <c r="G170" i="1"/>
  <c r="H169" i="1"/>
  <c r="G169" i="1"/>
  <c r="H168" i="1"/>
  <c r="G168" i="1"/>
  <c r="H167" i="1"/>
  <c r="G167" i="1"/>
  <c r="H166" i="1"/>
  <c r="G166" i="1"/>
  <c r="H165" i="1"/>
  <c r="G165" i="1"/>
  <c r="H164" i="1"/>
  <c r="G164" i="1"/>
  <c r="H163" i="1"/>
  <c r="G163" i="1"/>
  <c r="H162" i="1"/>
  <c r="G162" i="1"/>
  <c r="H161" i="1"/>
  <c r="G161" i="1"/>
  <c r="H160" i="1"/>
  <c r="G160" i="1"/>
  <c r="H159" i="1"/>
  <c r="G159" i="1"/>
  <c r="H158" i="1"/>
  <c r="G158" i="1"/>
  <c r="H157" i="1"/>
  <c r="G157" i="1"/>
  <c r="H156" i="1"/>
  <c r="G156" i="1"/>
  <c r="H155" i="1"/>
  <c r="G155" i="1"/>
  <c r="H154" i="1"/>
  <c r="G154" i="1"/>
  <c r="H153" i="1"/>
  <c r="G153" i="1"/>
  <c r="H152" i="1"/>
  <c r="G152" i="1"/>
  <c r="H151" i="1"/>
  <c r="G151" i="1"/>
  <c r="H150" i="1"/>
  <c r="G150" i="1"/>
  <c r="H149" i="1"/>
  <c r="G149" i="1"/>
  <c r="H148" i="1"/>
  <c r="G148" i="1"/>
  <c r="H147" i="1"/>
  <c r="G147" i="1"/>
  <c r="H146" i="1"/>
  <c r="G146" i="1"/>
  <c r="H145" i="1"/>
  <c r="G145" i="1"/>
  <c r="H144" i="1"/>
  <c r="G144" i="1"/>
  <c r="H143" i="1"/>
  <c r="G143" i="1"/>
  <c r="H142" i="1"/>
  <c r="G142" i="1"/>
  <c r="H141" i="1"/>
  <c r="G141" i="1"/>
  <c r="H140" i="1"/>
  <c r="G140" i="1"/>
  <c r="H139" i="1"/>
  <c r="G139" i="1"/>
  <c r="H138" i="1"/>
  <c r="G138" i="1"/>
  <c r="H137" i="1"/>
  <c r="G137" i="1"/>
  <c r="H136" i="1"/>
  <c r="G136" i="1"/>
  <c r="H135" i="1"/>
  <c r="G135" i="1"/>
  <c r="H134" i="1"/>
  <c r="G134" i="1"/>
  <c r="H133" i="1"/>
  <c r="G133" i="1"/>
  <c r="H132" i="1"/>
  <c r="G132" i="1"/>
  <c r="H131" i="1"/>
  <c r="G131" i="1"/>
  <c r="H130" i="1"/>
  <c r="G130" i="1"/>
  <c r="H129" i="1"/>
  <c r="G129" i="1"/>
  <c r="H128" i="1"/>
  <c r="G128" i="1"/>
  <c r="H127" i="1"/>
  <c r="G127" i="1"/>
  <c r="H126" i="1"/>
  <c r="G126" i="1"/>
  <c r="H125" i="1"/>
  <c r="G125" i="1"/>
  <c r="H124" i="1"/>
  <c r="G124" i="1"/>
  <c r="H123" i="1"/>
  <c r="G123" i="1"/>
  <c r="H122" i="1"/>
  <c r="G122" i="1"/>
  <c r="H121" i="1"/>
  <c r="G121" i="1"/>
  <c r="H120" i="1"/>
  <c r="G120" i="1"/>
  <c r="H119" i="1"/>
  <c r="G119" i="1"/>
  <c r="H118" i="1"/>
  <c r="G118" i="1"/>
  <c r="H117" i="1"/>
  <c r="G117" i="1"/>
  <c r="H116" i="1"/>
  <c r="G116" i="1"/>
  <c r="H115" i="1"/>
  <c r="G115" i="1"/>
  <c r="H114" i="1"/>
  <c r="G114" i="1"/>
  <c r="H113" i="1"/>
  <c r="G113" i="1"/>
  <c r="H112" i="1"/>
  <c r="G112" i="1"/>
  <c r="H111" i="1"/>
  <c r="G111" i="1"/>
  <c r="H110" i="1"/>
  <c r="G110" i="1"/>
  <c r="H109" i="1"/>
  <c r="G109" i="1"/>
  <c r="H108" i="1"/>
  <c r="G108" i="1"/>
  <c r="H107" i="1"/>
  <c r="G107" i="1"/>
  <c r="H106" i="1"/>
  <c r="G106" i="1"/>
  <c r="H105" i="1"/>
  <c r="G105" i="1"/>
  <c r="H104" i="1"/>
  <c r="G104" i="1"/>
  <c r="H103" i="1"/>
  <c r="G103" i="1"/>
  <c r="H102" i="1"/>
  <c r="G102" i="1"/>
  <c r="H101" i="1"/>
  <c r="G101" i="1"/>
  <c r="H100" i="1"/>
  <c r="G100" i="1"/>
  <c r="H99" i="1"/>
  <c r="G99" i="1"/>
  <c r="H98" i="1"/>
  <c r="G98" i="1"/>
  <c r="H97" i="1"/>
  <c r="G97" i="1"/>
  <c r="H96" i="1"/>
  <c r="G96" i="1"/>
  <c r="H95" i="1"/>
  <c r="G95" i="1"/>
  <c r="H94" i="1"/>
  <c r="G94" i="1"/>
  <c r="H93" i="1"/>
  <c r="G93" i="1"/>
  <c r="H92" i="1"/>
  <c r="G92" i="1"/>
  <c r="H91" i="1"/>
  <c r="G91" i="1"/>
  <c r="H90" i="1"/>
  <c r="G90" i="1"/>
  <c r="H89" i="1"/>
  <c r="G89" i="1"/>
  <c r="H88" i="1"/>
  <c r="G88" i="1"/>
  <c r="H87" i="1"/>
  <c r="G87" i="1"/>
  <c r="H86" i="1"/>
  <c r="G86" i="1"/>
  <c r="H85" i="1"/>
  <c r="G85" i="1"/>
  <c r="H84" i="1"/>
  <c r="G84" i="1"/>
  <c r="H83" i="1"/>
  <c r="G83" i="1"/>
  <c r="H82" i="1"/>
  <c r="G82" i="1"/>
  <c r="P81" i="1"/>
  <c r="H81" i="1"/>
  <c r="G81" i="1"/>
  <c r="H80" i="1"/>
  <c r="G80" i="1"/>
  <c r="H79" i="1"/>
  <c r="G79" i="1"/>
  <c r="H78" i="1"/>
  <c r="G78" i="1"/>
  <c r="H77" i="1"/>
  <c r="G77" i="1"/>
  <c r="H76" i="1"/>
  <c r="G76" i="1"/>
  <c r="H75" i="1"/>
  <c r="G75" i="1"/>
  <c r="H74" i="1"/>
  <c r="G74" i="1"/>
  <c r="H73" i="1"/>
  <c r="G73" i="1"/>
  <c r="H72" i="1"/>
  <c r="G72" i="1"/>
  <c r="H71" i="1"/>
  <c r="G71" i="1"/>
  <c r="H70" i="1"/>
  <c r="G70" i="1"/>
  <c r="H69" i="1"/>
  <c r="G69" i="1"/>
  <c r="H68" i="1"/>
  <c r="G68" i="1"/>
  <c r="H67" i="1"/>
  <c r="G67" i="1"/>
  <c r="H66" i="1"/>
  <c r="G66" i="1"/>
  <c r="H65" i="1"/>
  <c r="G65" i="1"/>
  <c r="H64" i="1"/>
  <c r="G64" i="1"/>
  <c r="H63" i="1"/>
  <c r="G63" i="1"/>
  <c r="H62" i="1"/>
  <c r="G62" i="1"/>
  <c r="H61" i="1"/>
  <c r="G61" i="1"/>
  <c r="H60" i="1"/>
  <c r="G60" i="1"/>
  <c r="H59" i="1"/>
  <c r="G59" i="1"/>
  <c r="H58" i="1"/>
  <c r="G58" i="1"/>
  <c r="H57" i="1"/>
  <c r="G57" i="1"/>
  <c r="H56" i="1"/>
  <c r="G56" i="1"/>
  <c r="H55" i="1"/>
  <c r="G55" i="1"/>
  <c r="H54" i="1"/>
  <c r="G54" i="1"/>
  <c r="H53" i="1"/>
  <c r="G53" i="1"/>
  <c r="H52" i="1"/>
  <c r="G52" i="1"/>
  <c r="H51" i="1"/>
  <c r="G51" i="1"/>
  <c r="H50" i="1"/>
  <c r="G50" i="1"/>
  <c r="H49" i="1"/>
  <c r="G49" i="1"/>
  <c r="H48" i="1"/>
  <c r="G48" i="1"/>
  <c r="H47" i="1"/>
  <c r="G47" i="1"/>
  <c r="H46" i="1"/>
  <c r="G46" i="1"/>
  <c r="H45" i="1"/>
  <c r="G45" i="1"/>
  <c r="H44" i="1"/>
  <c r="G44" i="1"/>
  <c r="H43" i="1"/>
  <c r="G43" i="1"/>
  <c r="H42" i="1"/>
  <c r="G42" i="1"/>
  <c r="H41" i="1"/>
  <c r="G41" i="1"/>
  <c r="H40" i="1"/>
  <c r="G40" i="1"/>
  <c r="H39" i="1"/>
  <c r="G39" i="1"/>
  <c r="H38" i="1"/>
  <c r="G38" i="1"/>
  <c r="H37" i="1"/>
  <c r="G37" i="1"/>
  <c r="H36" i="1"/>
  <c r="G36" i="1"/>
  <c r="H35" i="1"/>
  <c r="G35" i="1"/>
  <c r="H34" i="1"/>
  <c r="G34" i="1"/>
  <c r="H33" i="1"/>
  <c r="G33" i="1"/>
  <c r="H32" i="1"/>
  <c r="G32" i="1"/>
  <c r="H31" i="1"/>
  <c r="G31" i="1"/>
  <c r="H30" i="1"/>
  <c r="G30" i="1"/>
  <c r="H29" i="1"/>
  <c r="G29" i="1"/>
  <c r="H28" i="1"/>
  <c r="G28" i="1"/>
  <c r="H27" i="1"/>
  <c r="G27" i="1"/>
  <c r="H26" i="1"/>
  <c r="G26" i="1"/>
  <c r="H25" i="1"/>
  <c r="G25" i="1"/>
  <c r="H24" i="1"/>
  <c r="G24" i="1"/>
  <c r="H23" i="1"/>
  <c r="G23" i="1"/>
  <c r="H22" i="1"/>
  <c r="G22" i="1"/>
  <c r="H21" i="1"/>
  <c r="G21" i="1"/>
  <c r="H20" i="1"/>
  <c r="G20" i="1"/>
  <c r="H19" i="1"/>
  <c r="G19" i="1"/>
  <c r="H18" i="1"/>
  <c r="G18" i="1"/>
  <c r="H17" i="1"/>
  <c r="G17" i="1"/>
  <c r="H16" i="1"/>
  <c r="G16" i="1"/>
  <c r="H15" i="1"/>
  <c r="G15" i="1"/>
  <c r="H14" i="1"/>
  <c r="G14" i="1"/>
  <c r="H13" i="1"/>
  <c r="G13" i="1"/>
  <c r="H12" i="1"/>
  <c r="G12" i="1"/>
  <c r="H11" i="1"/>
  <c r="G11" i="1"/>
  <c r="H10" i="1"/>
  <c r="G10" i="1"/>
  <c r="H9" i="1"/>
  <c r="G9" i="1"/>
  <c r="H8" i="1"/>
  <c r="G8" i="1"/>
  <c r="H7" i="1"/>
  <c r="G7" i="1"/>
  <c r="H6" i="1"/>
  <c r="G6" i="1"/>
  <c r="H5" i="1"/>
  <c r="G5" i="1"/>
  <c r="H4" i="1"/>
  <c r="G4" i="1"/>
  <c r="H3" i="1"/>
  <c r="G3" i="1"/>
  <c r="H2" i="1"/>
  <c r="G2" i="1"/>
</calcChain>
</file>

<file path=xl/sharedStrings.xml><?xml version="1.0" encoding="utf-8"?>
<sst xmlns="http://schemas.openxmlformats.org/spreadsheetml/2006/main" count="949" uniqueCount="62">
  <si>
    <t>Month</t>
  </si>
  <si>
    <t>Transaction Number</t>
  </si>
  <si>
    <t>Product Code</t>
  </si>
  <si>
    <t>Product Description</t>
  </si>
  <si>
    <t>Store Cost</t>
  </si>
  <si>
    <t>Sale Price</t>
  </si>
  <si>
    <t>Profit</t>
  </si>
  <si>
    <t>Commision 10%</t>
  </si>
  <si>
    <t>First Name</t>
  </si>
  <si>
    <t>Last Name</t>
  </si>
  <si>
    <t>Sale Location</t>
  </si>
  <si>
    <t>Jan</t>
  </si>
  <si>
    <t>Pool Cover</t>
  </si>
  <si>
    <t>Chalie</t>
  </si>
  <si>
    <t>Barns</t>
  </si>
  <si>
    <t>NM</t>
  </si>
  <si>
    <t>Net</t>
  </si>
  <si>
    <t>Juan</t>
  </si>
  <si>
    <t>Hernandez</t>
  </si>
  <si>
    <t>CA</t>
  </si>
  <si>
    <t>8 ft Hose</t>
  </si>
  <si>
    <t>Doug</t>
  </si>
  <si>
    <t>Smith</t>
  </si>
  <si>
    <t>AZ</t>
  </si>
  <si>
    <t>Water Pump</t>
  </si>
  <si>
    <t>Chlorine Test Kit</t>
  </si>
  <si>
    <t>Hellen</t>
  </si>
  <si>
    <t>Johnson</t>
  </si>
  <si>
    <t>CO</t>
  </si>
  <si>
    <t>Skimmer</t>
  </si>
  <si>
    <t>1 Gal Muratic Acid</t>
  </si>
  <si>
    <t>Feb</t>
  </si>
  <si>
    <t>AutoVac</t>
  </si>
  <si>
    <t>NV</t>
  </si>
  <si>
    <t>UT</t>
  </si>
  <si>
    <t>Algea Killer 8 oz</t>
  </si>
  <si>
    <t>Mar</t>
  </si>
  <si>
    <t>5 Gal Chlorine</t>
  </si>
  <si>
    <t>May</t>
  </si>
  <si>
    <t>Aug</t>
  </si>
  <si>
    <t>Oct</t>
  </si>
  <si>
    <t>Nov</t>
  </si>
  <si>
    <t>Dec</t>
  </si>
  <si>
    <t>Average Sales</t>
  </si>
  <si>
    <t>Sales By Product</t>
  </si>
  <si>
    <t>Row Labels</t>
  </si>
  <si>
    <t>Grand Total</t>
  </si>
  <si>
    <t>Sum of Sale Price</t>
  </si>
  <si>
    <t>Total Profit</t>
  </si>
  <si>
    <t>Total Cost Price</t>
  </si>
  <si>
    <t>Profit Margin</t>
  </si>
  <si>
    <t>Product Commission</t>
  </si>
  <si>
    <t>Sum of Commision 10%</t>
  </si>
  <si>
    <t>Sum of Profit</t>
  </si>
  <si>
    <t>Profit Per City</t>
  </si>
  <si>
    <t>Apr</t>
  </si>
  <si>
    <t>Jun</t>
  </si>
  <si>
    <t>Jul</t>
  </si>
  <si>
    <t>Sep</t>
  </si>
  <si>
    <t>Top 5 Products</t>
  </si>
  <si>
    <t>TOTAL SALES</t>
  </si>
  <si>
    <t>Monthly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</si>
</sst>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 #,##0_);_(* \(#,##0\);_(* &quot;-&quot;??_);_(@_)"/>
    <numFmt numFmtId="165" formatCode="_(&quot;$&quot;* #,##0_);_(&quot;$&quot;* \(#,##0\);_(&quot;$&quot;* &quot;-&quot;??_);_(@_)"/>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2"/>
        <bgColor indexed="64"/>
      </patternFill>
    </fill>
    <fill>
      <patternFill patternType="solid">
        <fgColor theme="6"/>
        <bgColor indexed="64"/>
      </patternFill>
    </fill>
  </fills>
  <borders count="1">
    <border>
      <left/>
      <right/>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0">
    <xf numFmtId="0" fontId="0" fillId="0" borderId="0" xfId="0"/>
    <xf numFmtId="44" fontId="0" fillId="0" borderId="0" xfId="2" applyFont="1"/>
    <xf numFmtId="44" fontId="0" fillId="0" borderId="0" xfId="0" applyNumberFormat="1"/>
    <xf numFmtId="164" fontId="0" fillId="0" borderId="0" xfId="1" applyNumberFormat="1" applyFont="1" applyAlignment="1">
      <alignment horizontal="center"/>
    </xf>
    <xf numFmtId="0" fontId="0" fillId="0" borderId="0" xfId="0" applyAlignment="1">
      <alignment horizontal="center"/>
    </xf>
    <xf numFmtId="44" fontId="0" fillId="0" borderId="0" xfId="2" applyFont="1" applyAlignment="1">
      <alignment horizontal="center"/>
    </xf>
    <xf numFmtId="0" fontId="2" fillId="0" borderId="0" xfId="0" applyFont="1" applyAlignment="1">
      <alignment horizontal="center" wrapText="1"/>
    </xf>
    <xf numFmtId="0" fontId="2" fillId="2" borderId="0" xfId="0" applyFont="1" applyFill="1"/>
    <xf numFmtId="0" fontId="0" fillId="0" borderId="0" xfId="0" pivotButton="1"/>
    <xf numFmtId="0" fontId="0" fillId="0" borderId="0" xfId="0" applyAlignment="1">
      <alignment horizontal="left"/>
    </xf>
    <xf numFmtId="9" fontId="0" fillId="0" borderId="0" xfId="3" applyFont="1"/>
    <xf numFmtId="0" fontId="2" fillId="2" borderId="0" xfId="0" applyFont="1" applyFill="1" applyAlignment="1">
      <alignment horizontal="left"/>
    </xf>
    <xf numFmtId="164" fontId="0" fillId="0" borderId="0" xfId="1" applyNumberFormat="1" applyFont="1" applyAlignment="1">
      <alignment horizontal="right"/>
    </xf>
    <xf numFmtId="165" fontId="0" fillId="0" borderId="0" xfId="0" applyNumberFormat="1"/>
    <xf numFmtId="0" fontId="0" fillId="0" borderId="0" xfId="1" applyNumberFormat="1" applyFont="1"/>
    <xf numFmtId="0" fontId="0" fillId="0" borderId="0" xfId="0" applyAlignment="1">
      <alignment horizontal="center" wrapText="1"/>
    </xf>
    <xf numFmtId="0" fontId="0" fillId="3" borderId="0" xfId="0" applyFill="1"/>
    <xf numFmtId="44" fontId="0" fillId="3" borderId="0" xfId="0" applyNumberFormat="1" applyFill="1"/>
    <xf numFmtId="10" fontId="0" fillId="0" borderId="0" xfId="0" applyNumberFormat="1"/>
    <xf numFmtId="0" fontId="0" fillId="0" borderId="0" xfId="0" applyNumberFormat="1"/>
  </cellXfs>
  <cellStyles count="4">
    <cellStyle name="Comma" xfId="1" builtinId="3"/>
    <cellStyle name="Currency" xfId="2" builtinId="4"/>
    <cellStyle name="Normal" xfId="0" builtinId="0"/>
    <cellStyle name="Percent" xfId="3" builtinId="5"/>
  </cellStyles>
  <dxfs count="33">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34" formatCode="_(&quot;$&quot;* #,##0.00_);_(&quot;$&quot;* \(#,##0.00\);_(&quot;$&quot;* &quot;-&quot;??_);_(@_)"/>
    </dxf>
    <dxf>
      <numFmt numFmtId="34" formatCode="_(&quot;$&quot;* #,##0.00_);_(&quot;$&quot;* \(#,##0.00\);_(&quot;$&quot;* &quot;-&quot;??_);_(@_)"/>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_);_(* \(#,##0\);_(*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[Profit.Tracker.xlsx]PivotTable!PivotTable1</c:name>
    <c:fmtId val="2"/>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pivotFmt>
      <c:pivotFmt>
        <c:idx val="2"/>
        <c:spPr>
          <a:solidFill>
            <a:srgbClr val="92D050"/>
          </a:solidFill>
          <a:ln>
            <a:noFill/>
          </a:ln>
          <a:effectLst/>
        </c:spPr>
      </c:pivotFmt>
      <c:pivotFmt>
        <c:idx val="3"/>
        <c:spPr>
          <a:solidFill>
            <a:srgbClr val="00B050"/>
          </a:solidFill>
          <a:ln>
            <a:noFill/>
          </a:ln>
          <a:effectLst/>
        </c:spPr>
      </c:pivotFmt>
      <c:pivotFmt>
        <c:idx val="4"/>
        <c:spPr>
          <a:solidFill>
            <a:srgbClr val="00B050"/>
          </a:solidFill>
          <a:ln>
            <a:noFill/>
          </a:ln>
          <a:effectLst/>
        </c:spPr>
      </c:pivotFmt>
      <c:pivotFmt>
        <c:idx val="5"/>
        <c:spPr>
          <a:solidFill>
            <a:srgbClr val="002060"/>
          </a:solidFill>
          <a:ln>
            <a:noFill/>
          </a:ln>
          <a:effectLst/>
        </c:spPr>
      </c:pivotFmt>
      <c:pivotFmt>
        <c:idx val="6"/>
        <c:spPr>
          <a:solidFill>
            <a:srgbClr val="7030A0"/>
          </a:solidFill>
          <a:ln>
            <a:noFill/>
          </a:ln>
          <a:effectLst/>
        </c:spPr>
      </c:pivotFmt>
      <c:pivotFmt>
        <c:idx val="7"/>
        <c:spPr>
          <a:solidFill>
            <a:schemeClr val="accent6">
              <a:lumMod val="75000"/>
            </a:schemeClr>
          </a:solidFill>
          <a:ln>
            <a:noFill/>
          </a:ln>
          <a:effectLst/>
        </c:spPr>
      </c:pivotFmt>
      <c:pivotFmt>
        <c:idx val="8"/>
        <c:spPr>
          <a:solidFill>
            <a:schemeClr val="accent3">
              <a:lumMod val="75000"/>
            </a:schemeClr>
          </a:solidFill>
          <a:ln>
            <a:noFill/>
          </a:ln>
          <a:effectLst/>
        </c:spPr>
      </c:pivotFmt>
    </c:pivotFmts>
    <c:plotArea>
      <c:layout>
        <c:manualLayout>
          <c:layoutTarget val="inner"/>
          <c:xMode val="edge"/>
          <c:yMode val="edge"/>
          <c:x val="0.13287807549236202"/>
          <c:y val="0.23055669898378853"/>
          <c:w val="0.80301596675415576"/>
          <c:h val="0.52467180310727979"/>
        </c:manualLayout>
      </c:layout>
      <c:barChart>
        <c:barDir val="col"/>
        <c:grouping val="stacked"/>
        <c:varyColors val="0"/>
        <c:ser>
          <c:idx val="0"/>
          <c:order val="0"/>
          <c:tx>
            <c:strRef>
              <c:f>PivotTable!$B$6</c:f>
              <c:strCache>
                <c:ptCount val="1"/>
                <c:pt idx="0">
                  <c:v>Total</c:v>
                </c:pt>
              </c:strCache>
            </c:strRef>
          </c:tx>
          <c:spPr>
            <a:solidFill>
              <a:schemeClr val="accent2"/>
            </a:solidFill>
            <a:ln>
              <a:noFill/>
            </a:ln>
            <a:effectLst/>
          </c:spPr>
          <c:invertIfNegative val="0"/>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9-5668-48D8-BF46-E2F94CB5CC28}"/>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8-5668-48D8-BF46-E2F94CB5CC28}"/>
              </c:ext>
            </c:extLst>
          </c:dPt>
          <c:dPt>
            <c:idx val="3"/>
            <c:invertIfNegative val="0"/>
            <c:bubble3D val="0"/>
            <c:spPr>
              <a:solidFill>
                <a:srgbClr val="7030A0"/>
              </a:solidFill>
              <a:ln>
                <a:noFill/>
              </a:ln>
              <a:effectLst/>
            </c:spPr>
            <c:extLst>
              <c:ext xmlns:c16="http://schemas.microsoft.com/office/drawing/2014/chart" uri="{C3380CC4-5D6E-409C-BE32-E72D297353CC}">
                <c16:uniqueId val="{00000007-5668-48D8-BF46-E2F94CB5CC28}"/>
              </c:ext>
            </c:extLst>
          </c:dPt>
          <c:dPt>
            <c:idx val="4"/>
            <c:invertIfNegative val="0"/>
            <c:bubble3D val="0"/>
            <c:spPr>
              <a:solidFill>
                <a:srgbClr val="002060"/>
              </a:solidFill>
              <a:ln>
                <a:noFill/>
              </a:ln>
              <a:effectLst/>
            </c:spPr>
            <c:extLst>
              <c:ext xmlns:c16="http://schemas.microsoft.com/office/drawing/2014/chart" uri="{C3380CC4-5D6E-409C-BE32-E72D297353CC}">
                <c16:uniqueId val="{00000006-5668-48D8-BF46-E2F94CB5CC28}"/>
              </c:ext>
            </c:extLst>
          </c:dPt>
          <c:dPt>
            <c:idx val="5"/>
            <c:invertIfNegative val="0"/>
            <c:bubble3D val="0"/>
            <c:spPr>
              <a:solidFill>
                <a:srgbClr val="00B050"/>
              </a:solidFill>
              <a:ln>
                <a:noFill/>
              </a:ln>
              <a:effectLst/>
            </c:spPr>
            <c:extLst>
              <c:ext xmlns:c16="http://schemas.microsoft.com/office/drawing/2014/chart" uri="{C3380CC4-5D6E-409C-BE32-E72D297353CC}">
                <c16:uniqueId val="{00000005-5668-48D8-BF46-E2F94CB5CC28}"/>
              </c:ext>
            </c:extLst>
          </c:dPt>
          <c:dPt>
            <c:idx val="6"/>
            <c:invertIfNegative val="0"/>
            <c:bubble3D val="0"/>
            <c:spPr>
              <a:solidFill>
                <a:srgbClr val="00B050"/>
              </a:solidFill>
              <a:ln>
                <a:noFill/>
              </a:ln>
              <a:effectLst/>
            </c:spPr>
            <c:extLst>
              <c:ext xmlns:c16="http://schemas.microsoft.com/office/drawing/2014/chart" uri="{C3380CC4-5D6E-409C-BE32-E72D297353CC}">
                <c16:uniqueId val="{00000004-5668-48D8-BF46-E2F94CB5CC28}"/>
              </c:ext>
            </c:extLst>
          </c:dPt>
          <c:dPt>
            <c:idx val="7"/>
            <c:invertIfNegative val="0"/>
            <c:bubble3D val="0"/>
            <c:spPr>
              <a:solidFill>
                <a:srgbClr val="92D050"/>
              </a:solidFill>
              <a:ln>
                <a:noFill/>
              </a:ln>
              <a:effectLst/>
            </c:spPr>
            <c:extLst>
              <c:ext xmlns:c16="http://schemas.microsoft.com/office/drawing/2014/chart" uri="{C3380CC4-5D6E-409C-BE32-E72D297353CC}">
                <c16:uniqueId val="{00000003-5668-48D8-BF46-E2F94CB5CC28}"/>
              </c:ext>
            </c:extLst>
          </c:dPt>
          <c:dPt>
            <c:idx val="8"/>
            <c:invertIfNegative val="0"/>
            <c:bubble3D val="0"/>
            <c:spPr>
              <a:solidFill>
                <a:srgbClr val="FFFF00"/>
              </a:solidFill>
              <a:ln>
                <a:noFill/>
              </a:ln>
              <a:effectLst/>
            </c:spPr>
            <c:extLst>
              <c:ext xmlns:c16="http://schemas.microsoft.com/office/drawing/2014/chart" uri="{C3380CC4-5D6E-409C-BE32-E72D297353CC}">
                <c16:uniqueId val="{00000002-5668-48D8-BF46-E2F94CB5CC28}"/>
              </c:ext>
            </c:extLst>
          </c:dPt>
          <c:cat>
            <c:strRef>
              <c:f>PivotTable!$A$7:$A$17</c:f>
              <c:strCache>
                <c:ptCount val="10"/>
                <c:pt idx="0">
                  <c:v>1 Gal Muratic Acid</c:v>
                </c:pt>
                <c:pt idx="1">
                  <c:v>5 Gal Chlorine</c:v>
                </c:pt>
                <c:pt idx="2">
                  <c:v>8 ft Hose</c:v>
                </c:pt>
                <c:pt idx="3">
                  <c:v>Algea Killer 8 oz</c:v>
                </c:pt>
                <c:pt idx="4">
                  <c:v>AutoVac</c:v>
                </c:pt>
                <c:pt idx="5">
                  <c:v>Chlorine Test Kit</c:v>
                </c:pt>
                <c:pt idx="6">
                  <c:v>Net</c:v>
                </c:pt>
                <c:pt idx="7">
                  <c:v>Pool Cover</c:v>
                </c:pt>
                <c:pt idx="8">
                  <c:v>Skimmer</c:v>
                </c:pt>
                <c:pt idx="9">
                  <c:v>Water Pump</c:v>
                </c:pt>
              </c:strCache>
            </c:strRef>
          </c:cat>
          <c:val>
            <c:numRef>
              <c:f>PivotTable!$B$7:$B$17</c:f>
              <c:numCache>
                <c:formatCode>_("$"* #,##0.00_);_("$"* \(#,##0.00\);_("$"* "-"??_);_(@_)</c:formatCode>
                <c:ptCount val="10"/>
                <c:pt idx="0">
                  <c:v>77</c:v>
                </c:pt>
                <c:pt idx="1">
                  <c:v>693</c:v>
                </c:pt>
                <c:pt idx="2">
                  <c:v>183.99999999999994</c:v>
                </c:pt>
                <c:pt idx="3">
                  <c:v>210</c:v>
                </c:pt>
                <c:pt idx="4">
                  <c:v>1984</c:v>
                </c:pt>
                <c:pt idx="5">
                  <c:v>160</c:v>
                </c:pt>
                <c:pt idx="6">
                  <c:v>391.20000000000016</c:v>
                </c:pt>
                <c:pt idx="7">
                  <c:v>2066.4000000000005</c:v>
                </c:pt>
                <c:pt idx="8">
                  <c:v>1305</c:v>
                </c:pt>
                <c:pt idx="9">
                  <c:v>10040</c:v>
                </c:pt>
              </c:numCache>
            </c:numRef>
          </c:val>
          <c:extLst>
            <c:ext xmlns:c16="http://schemas.microsoft.com/office/drawing/2014/chart" uri="{C3380CC4-5D6E-409C-BE32-E72D297353CC}">
              <c16:uniqueId val="{00000000-5668-48D8-BF46-E2F94CB5CC28}"/>
            </c:ext>
          </c:extLst>
        </c:ser>
        <c:dLbls>
          <c:showLegendKey val="0"/>
          <c:showVal val="0"/>
          <c:showCatName val="0"/>
          <c:showSerName val="0"/>
          <c:showPercent val="0"/>
          <c:showBubbleSize val="0"/>
        </c:dLbls>
        <c:gapWidth val="150"/>
        <c:overlap val="100"/>
        <c:axId val="14381231"/>
        <c:axId val="14391215"/>
      </c:barChart>
      <c:catAx>
        <c:axId val="1438123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391215"/>
        <c:crosses val="autoZero"/>
        <c:auto val="1"/>
        <c:lblAlgn val="ctr"/>
        <c:lblOffset val="100"/>
        <c:noMultiLvlLbl val="0"/>
      </c:catAx>
      <c:valAx>
        <c:axId val="1439121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1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[Profit.Tracker.xlsx]PivotTable!PivotTable5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rgbClr val="FFC000"/>
          </a:solidFill>
          <a:ln>
            <a:noFill/>
          </a:ln>
          <a:effectLst/>
        </c:spPr>
      </c:pivotFmt>
      <c:pivotFmt>
        <c:idx val="3"/>
        <c:spPr>
          <a:solidFill>
            <a:srgbClr val="FFFF00"/>
          </a:solidFill>
          <a:ln>
            <a:noFill/>
          </a:ln>
          <a:effectLst/>
        </c:spPr>
      </c:pivotFmt>
      <c:pivotFmt>
        <c:idx val="4"/>
        <c:spPr>
          <a:solidFill>
            <a:schemeClr val="accent1">
              <a:lumMod val="75000"/>
            </a:schemeClr>
          </a:solidFill>
          <a:ln>
            <a:noFill/>
          </a:ln>
          <a:effectLst/>
        </c:spPr>
      </c:pivotFmt>
      <c:pivotFmt>
        <c:idx val="5"/>
        <c:spPr>
          <a:solidFill>
            <a:srgbClr val="00B050"/>
          </a:solidFill>
          <a:ln>
            <a:noFill/>
          </a:ln>
          <a:effectLst/>
        </c:spPr>
      </c:pivotFmt>
      <c:pivotFmt>
        <c:idx val="6"/>
        <c:spPr>
          <a:solidFill>
            <a:srgbClr val="7030A0"/>
          </a:solidFill>
          <a:ln>
            <a:noFill/>
          </a:ln>
          <a:effectLst/>
        </c:spPr>
      </c:pivotFmt>
      <c:pivotFmt>
        <c:idx val="7"/>
        <c:spPr>
          <a:solidFill>
            <a:schemeClr val="accent6">
              <a:lumMod val="75000"/>
            </a:schemeClr>
          </a:solidFill>
          <a:ln>
            <a:noFill/>
          </a:ln>
          <a:effectLst/>
        </c:spPr>
      </c:pivotFmt>
    </c:pivotFmts>
    <c:plotArea>
      <c:layout/>
      <c:barChart>
        <c:barDir val="col"/>
        <c:grouping val="stacked"/>
        <c:varyColors val="0"/>
        <c:ser>
          <c:idx val="0"/>
          <c:order val="0"/>
          <c:tx>
            <c:strRef>
              <c:f>PivotTable!$B$22</c:f>
              <c:strCache>
                <c:ptCount val="1"/>
                <c:pt idx="0">
                  <c:v>Total</c:v>
                </c:pt>
              </c:strCache>
            </c:strRef>
          </c:tx>
          <c:spPr>
            <a:solidFill>
              <a:schemeClr val="accent1"/>
            </a:solidFill>
            <a:ln>
              <a:noFill/>
            </a:ln>
            <a:effectLst/>
          </c:spPr>
          <c:invertIfNegative val="0"/>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8-954B-421F-A7C8-7839B4849D48}"/>
              </c:ext>
            </c:extLst>
          </c:dPt>
          <c:dPt>
            <c:idx val="4"/>
            <c:invertIfNegative val="0"/>
            <c:bubble3D val="0"/>
            <c:spPr>
              <a:solidFill>
                <a:srgbClr val="7030A0"/>
              </a:solidFill>
              <a:ln>
                <a:noFill/>
              </a:ln>
              <a:effectLst/>
            </c:spPr>
            <c:extLst>
              <c:ext xmlns:c16="http://schemas.microsoft.com/office/drawing/2014/chart" uri="{C3380CC4-5D6E-409C-BE32-E72D297353CC}">
                <c16:uniqueId val="{00000007-954B-421F-A7C8-7839B4849D48}"/>
              </c:ext>
            </c:extLst>
          </c:dPt>
          <c:dPt>
            <c:idx val="5"/>
            <c:invertIfNegative val="0"/>
            <c:bubble3D val="0"/>
            <c:spPr>
              <a:solidFill>
                <a:srgbClr val="00B050"/>
              </a:solidFill>
              <a:ln>
                <a:noFill/>
              </a:ln>
              <a:effectLst/>
            </c:spPr>
            <c:extLst>
              <c:ext xmlns:c16="http://schemas.microsoft.com/office/drawing/2014/chart" uri="{C3380CC4-5D6E-409C-BE32-E72D297353CC}">
                <c16:uniqueId val="{00000006-954B-421F-A7C8-7839B4849D48}"/>
              </c:ext>
            </c:extLst>
          </c:dPt>
          <c:dPt>
            <c:idx val="6"/>
            <c:invertIfNegative val="0"/>
            <c:bubble3D val="0"/>
            <c:spPr>
              <a:solidFill>
                <a:schemeClr val="accent1">
                  <a:lumMod val="75000"/>
                </a:schemeClr>
              </a:solidFill>
              <a:ln>
                <a:noFill/>
              </a:ln>
              <a:effectLst/>
            </c:spPr>
            <c:extLst>
              <c:ext xmlns:c16="http://schemas.microsoft.com/office/drawing/2014/chart" uri="{C3380CC4-5D6E-409C-BE32-E72D297353CC}">
                <c16:uniqueId val="{00000005-954B-421F-A7C8-7839B4849D48}"/>
              </c:ext>
            </c:extLst>
          </c:dPt>
          <c:dPt>
            <c:idx val="7"/>
            <c:invertIfNegative val="0"/>
            <c:bubble3D val="0"/>
            <c:spPr>
              <a:solidFill>
                <a:srgbClr val="FFFF00"/>
              </a:solidFill>
              <a:ln>
                <a:noFill/>
              </a:ln>
              <a:effectLst/>
            </c:spPr>
            <c:extLst>
              <c:ext xmlns:c16="http://schemas.microsoft.com/office/drawing/2014/chart" uri="{C3380CC4-5D6E-409C-BE32-E72D297353CC}">
                <c16:uniqueId val="{00000004-954B-421F-A7C8-7839B4849D48}"/>
              </c:ext>
            </c:extLst>
          </c:dPt>
          <c:dPt>
            <c:idx val="8"/>
            <c:invertIfNegative val="0"/>
            <c:bubble3D val="0"/>
            <c:spPr>
              <a:solidFill>
                <a:srgbClr val="FFC000"/>
              </a:solidFill>
              <a:ln>
                <a:noFill/>
              </a:ln>
              <a:effectLst/>
            </c:spPr>
            <c:extLst>
              <c:ext xmlns:c16="http://schemas.microsoft.com/office/drawing/2014/chart" uri="{C3380CC4-5D6E-409C-BE32-E72D297353CC}">
                <c16:uniqueId val="{00000003-954B-421F-A7C8-7839B4849D48}"/>
              </c:ext>
            </c:extLst>
          </c:dPt>
          <c:dPt>
            <c:idx val="9"/>
            <c:invertIfNegative val="0"/>
            <c:bubble3D val="0"/>
            <c:spPr>
              <a:solidFill>
                <a:schemeClr val="accent2"/>
              </a:solidFill>
              <a:ln>
                <a:noFill/>
              </a:ln>
              <a:effectLst/>
            </c:spPr>
            <c:extLst>
              <c:ext xmlns:c16="http://schemas.microsoft.com/office/drawing/2014/chart" uri="{C3380CC4-5D6E-409C-BE32-E72D297353CC}">
                <c16:uniqueId val="{00000002-954B-421F-A7C8-7839B4849D48}"/>
              </c:ext>
            </c:extLst>
          </c:dPt>
          <c:cat>
            <c:strRef>
              <c:f>PivotTable!$A$23:$A$33</c:f>
              <c:strCache>
                <c:ptCount val="10"/>
                <c:pt idx="0">
                  <c:v>1 Gal Muratic Acid</c:v>
                </c:pt>
                <c:pt idx="1">
                  <c:v>5 Gal Chlorine</c:v>
                </c:pt>
                <c:pt idx="2">
                  <c:v>8 ft Hose</c:v>
                </c:pt>
                <c:pt idx="3">
                  <c:v>Algea Killer 8 oz</c:v>
                </c:pt>
                <c:pt idx="4">
                  <c:v>AutoVac</c:v>
                </c:pt>
                <c:pt idx="5">
                  <c:v>Chlorine Test Kit</c:v>
                </c:pt>
                <c:pt idx="6">
                  <c:v>Net</c:v>
                </c:pt>
                <c:pt idx="7">
                  <c:v>Pool Cover</c:v>
                </c:pt>
                <c:pt idx="8">
                  <c:v>Skimmer</c:v>
                </c:pt>
                <c:pt idx="9">
                  <c:v>Water Pump</c:v>
                </c:pt>
              </c:strCache>
            </c:strRef>
          </c:cat>
          <c:val>
            <c:numRef>
              <c:f>PivotTable!$B$23:$B$33</c:f>
              <c:numCache>
                <c:formatCode>_("$"* #,##0_);_("$"* \(#,##0\);_("$"* "-"??_);_(@_)</c:formatCode>
                <c:ptCount val="10"/>
                <c:pt idx="0">
                  <c:v>3.3</c:v>
                </c:pt>
                <c:pt idx="1">
                  <c:v>63</c:v>
                </c:pt>
                <c:pt idx="2">
                  <c:v>5.9999999999999973</c:v>
                </c:pt>
                <c:pt idx="3">
                  <c:v>7.5</c:v>
                </c:pt>
                <c:pt idx="4">
                  <c:v>204.80000000000004</c:v>
                </c:pt>
                <c:pt idx="5">
                  <c:v>10</c:v>
                </c:pt>
                <c:pt idx="6">
                  <c:v>11.760000000000003</c:v>
                </c:pt>
                <c:pt idx="7">
                  <c:v>168.42000000000004</c:v>
                </c:pt>
                <c:pt idx="8">
                  <c:v>126.00000000000004</c:v>
                </c:pt>
                <c:pt idx="9">
                  <c:v>632.00000000000023</c:v>
                </c:pt>
              </c:numCache>
            </c:numRef>
          </c:val>
          <c:extLst>
            <c:ext xmlns:c16="http://schemas.microsoft.com/office/drawing/2014/chart" uri="{C3380CC4-5D6E-409C-BE32-E72D297353CC}">
              <c16:uniqueId val="{00000000-954B-421F-A7C8-7839B4849D48}"/>
            </c:ext>
          </c:extLst>
        </c:ser>
        <c:dLbls>
          <c:showLegendKey val="0"/>
          <c:showVal val="0"/>
          <c:showCatName val="0"/>
          <c:showSerName val="0"/>
          <c:showPercent val="0"/>
          <c:showBubbleSize val="0"/>
        </c:dLbls>
        <c:gapWidth val="150"/>
        <c:overlap val="100"/>
        <c:axId val="144669839"/>
        <c:axId val="144667343"/>
      </c:barChart>
      <c:catAx>
        <c:axId val="144669839"/>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4667343"/>
        <c:crosses val="autoZero"/>
        <c:auto val="1"/>
        <c:lblAlgn val="ctr"/>
        <c:lblOffset val="100"/>
        <c:noMultiLvlLbl val="0"/>
      </c:catAx>
      <c:valAx>
        <c:axId val="144667343"/>
        <c:scaling>
          <c:orientation val="minMax"/>
        </c:scaling>
        <c:delete val="0"/>
        <c:axPos val="l"/>
        <c:majorGridlines>
          <c:spPr>
            <a:ln w="9525" cap="flat" cmpd="sng" algn="ctr">
              <a:solidFill>
                <a:srgbClr val="FFC000"/>
              </a:solidFill>
              <a:round/>
            </a:ln>
            <a:effectLst/>
          </c:spPr>
        </c:majorGridlines>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4669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[Profit.Tracker.xlsx]PivotTable!PivotTable6</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4722222222222214"/>
              <c:y val="-0.175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181955380577428"/>
                  <c:h val="0.13881962671332748"/>
                </c:manualLayout>
              </c15:layout>
            </c:ext>
          </c:extLst>
        </c:dLbl>
      </c:pivotFmt>
      <c:pivotFmt>
        <c:idx val="2"/>
        <c:spPr>
          <a:solidFill>
            <a:schemeClr val="accent1"/>
          </a:solidFill>
          <a:ln w="19050">
            <a:solidFill>
              <a:schemeClr val="lt1"/>
            </a:solidFill>
          </a:ln>
          <a:effectLst/>
        </c:spPr>
        <c:dLbl>
          <c:idx val="0"/>
          <c:layout>
            <c:manualLayout>
              <c:x val="-0.22499999999999998"/>
              <c:y val="4.16666205299714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595822397200351"/>
                  <c:h val="0.12030101592141863"/>
                </c:manualLayout>
              </c15:layout>
            </c:ext>
          </c:extLst>
        </c:dLbl>
      </c:pivotFmt>
      <c:pivotFmt>
        <c:idx val="3"/>
        <c:spPr>
          <a:solidFill>
            <a:schemeClr val="accent1"/>
          </a:solidFill>
          <a:ln w="19050">
            <a:solidFill>
              <a:schemeClr val="lt1"/>
            </a:solidFill>
          </a:ln>
          <a:effectLst/>
        </c:spPr>
        <c:dLbl>
          <c:idx val="0"/>
          <c:layout>
            <c:manualLayout>
              <c:x val="0.29444455380577417"/>
              <c:y val="2.555185764516342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1D5298C-6409-4726-9DAC-3A2E1AD01B5C}" type="CATEGORYNAME">
                  <a:rPr lang="en-US" b="1"/>
                  <a:pPr>
                    <a:defRPr/>
                  </a:pPr>
                  <a:t>[CATEGORY NAME]</a:t>
                </a:fld>
                <a:r>
                  <a:rPr lang="en-US" b="1"/>
                  <a:t>, </a:t>
                </a:r>
                <a:fld id="{BD782888-FDFF-4221-B5A3-6488F44283F3}" type="VALUE">
                  <a:rPr lang="en-US" b="1"/>
                  <a:pPr>
                    <a:defRPr/>
                  </a:pPr>
                  <a:t>[VALUE]</a:t>
                </a:fld>
                <a:r>
                  <a:rPr lang="en-US" b="1"/>
                  <a:t>, </a:t>
                </a:r>
                <a:fld id="{DAD592B3-80B5-4156-8CB3-91997CBF1514}" type="PERCENTAGE">
                  <a:rPr lang="en-US" b="1"/>
                  <a:pPr>
                    <a:defRPr/>
                  </a:pPr>
                  <a:t>[PERCENTAGE]</a:t>
                </a:fld>
                <a:endParaRPr lang="en-US" b="1"/>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312222222222222"/>
                  <c:h val="0.13930326783422758"/>
                </c:manualLayout>
              </c15:layout>
              <c15:dlblFieldTable/>
              <c15:showDataLabelsRange val="0"/>
            </c:ext>
          </c:extLst>
        </c:dLbl>
      </c:pivotFmt>
      <c:pivotFmt>
        <c:idx val="4"/>
        <c:spPr>
          <a:solidFill>
            <a:schemeClr val="accent1"/>
          </a:solidFill>
          <a:ln w="19050">
            <a:solidFill>
              <a:schemeClr val="lt1"/>
            </a:solidFill>
          </a:ln>
          <a:effectLst/>
        </c:spPr>
        <c:dLbl>
          <c:idx val="0"/>
          <c:layout>
            <c:manualLayout>
              <c:x val="-0.12777777777777785"/>
              <c:y val="-8.10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3340266841644791"/>
                  <c:h val="0.12493073782443861"/>
                </c:manualLayout>
              </c15:layout>
            </c:ext>
          </c:extLst>
        </c:dLbl>
      </c:pivotFmt>
      <c:pivotFmt>
        <c:idx val="5"/>
        <c:spPr>
          <a:solidFill>
            <a:schemeClr val="accent1"/>
          </a:solidFill>
          <a:ln w="19050">
            <a:solidFill>
              <a:schemeClr val="lt1"/>
            </a:solidFill>
          </a:ln>
          <a:effectLst/>
        </c:spPr>
        <c:dLbl>
          <c:idx val="0"/>
          <c:layout>
            <c:manualLayout>
              <c:x val="-0.19861100174978127"/>
              <c:y val="6.1169282680171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5813888888888886"/>
                  <c:h val="0.18760134149897931"/>
                </c:manualLayout>
              </c15:layout>
            </c:ext>
          </c:extLst>
        </c:dLbl>
      </c:pivotFmt>
      <c:pivotFmt>
        <c:idx val="6"/>
        <c:spPr>
          <a:solidFill>
            <a:schemeClr val="accent1"/>
          </a:solidFill>
          <a:ln w="19050">
            <a:solidFill>
              <a:schemeClr val="lt1"/>
            </a:solidFill>
          </a:ln>
          <a:effectLst/>
        </c:spPr>
        <c:dLbl>
          <c:idx val="0"/>
          <c:layout>
            <c:manualLayout>
              <c:x val="9.7222222222222293E-3"/>
              <c:y val="0.133064348734144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029582239720035"/>
                  <c:h val="6.3799440753037298E-2"/>
                </c:manualLayout>
              </c15:layout>
            </c:ext>
          </c:extLst>
        </c:dLbl>
      </c:pivotFmt>
    </c:pivotFmts>
    <c:plotArea>
      <c:layout/>
      <c:doughnutChart>
        <c:varyColors val="1"/>
        <c:ser>
          <c:idx val="0"/>
          <c:order val="0"/>
          <c:tx>
            <c:strRef>
              <c:f>PivotTable!$B$36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3385-48B6-B222-EEB34E6D45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3385-48B6-B222-EEB34E6D45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7-3385-48B6-B222-EEB34E6D45D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6-3385-48B6-B222-EEB34E6D45D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3-3385-48B6-B222-EEB34E6D45D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5-3385-48B6-B222-EEB34E6D45DC}"/>
              </c:ext>
            </c:extLst>
          </c:dPt>
          <c:dLbls>
            <c:dLbl>
              <c:idx val="0"/>
              <c:layout>
                <c:manualLayout>
                  <c:x val="0.14722222222222214"/>
                  <c:y val="-0.17592592592592593"/>
                </c:manualLayout>
              </c:layout>
              <c:showLegendKey val="0"/>
              <c:showVal val="1"/>
              <c:showCatName val="1"/>
              <c:showSerName val="0"/>
              <c:showPercent val="1"/>
              <c:showBubbleSize val="0"/>
              <c:extLst>
                <c:ext xmlns:c15="http://schemas.microsoft.com/office/drawing/2012/chart" uri="{CE6537A1-D6FC-4f65-9D91-7224C49458BB}">
                  <c15:layout>
                    <c:manualLayout>
                      <c:w val="0.15181955380577428"/>
                      <c:h val="0.13881962671332748"/>
                    </c:manualLayout>
                  </c15:layout>
                </c:ext>
                <c:ext xmlns:c16="http://schemas.microsoft.com/office/drawing/2014/chart" uri="{C3380CC4-5D6E-409C-BE32-E72D297353CC}">
                  <c16:uniqueId val="{00000002-3385-48B6-B222-EEB34E6D45DC}"/>
                </c:ext>
              </c:extLst>
            </c:dLbl>
            <c:dLbl>
              <c:idx val="1"/>
              <c:layout>
                <c:manualLayout>
                  <c:x val="0.29444455380577417"/>
                  <c:y val="2.5551857645163423E-2"/>
                </c:manualLayout>
              </c:layout>
              <c:tx>
                <c:rich>
                  <a:bodyPr/>
                  <a:lstStyle/>
                  <a:p>
                    <a:fld id="{C1D5298C-6409-4726-9DAC-3A2E1AD01B5C}" type="CATEGORYNAME">
                      <a:rPr lang="en-US" b="1"/>
                      <a:pPr/>
                      <a:t>[CATEGORY NAME]</a:t>
                    </a:fld>
                    <a:r>
                      <a:rPr lang="en-US" b="1"/>
                      <a:t>, </a:t>
                    </a:r>
                    <a:fld id="{BD782888-FDFF-4221-B5A3-6488F44283F3}" type="VALUE">
                      <a:rPr lang="en-US" b="1"/>
                      <a:pPr/>
                      <a:t>[VALUE]</a:t>
                    </a:fld>
                    <a:r>
                      <a:rPr lang="en-US" b="1"/>
                      <a:t>, </a:t>
                    </a:r>
                    <a:fld id="{DAD592B3-80B5-4156-8CB3-91997CBF1514}" type="PERCENTAGE">
                      <a:rPr lang="en-US" b="1"/>
                      <a:pPr/>
                      <a:t>[PERCENTAGE]</a:t>
                    </a:fld>
                    <a:endParaRPr lang="en-US" b="1"/>
                  </a:p>
                </c:rich>
              </c:tx>
              <c:showLegendKey val="0"/>
              <c:showVal val="1"/>
              <c:showCatName val="1"/>
              <c:showSerName val="0"/>
              <c:showPercent val="1"/>
              <c:showBubbleSize val="0"/>
              <c:extLst>
                <c:ext xmlns:c15="http://schemas.microsoft.com/office/drawing/2012/chart" uri="{CE6537A1-D6FC-4f65-9D91-7224C49458BB}">
                  <c15:layout>
                    <c:manualLayout>
                      <c:w val="0.3312222222222222"/>
                      <c:h val="0.13930326783422758"/>
                    </c:manualLayout>
                  </c15:layout>
                  <c15:dlblFieldTable/>
                  <c15:showDataLabelsRange val="0"/>
                </c:ext>
                <c:ext xmlns:c16="http://schemas.microsoft.com/office/drawing/2014/chart" uri="{C3380CC4-5D6E-409C-BE32-E72D297353CC}">
                  <c16:uniqueId val="{00000004-3385-48B6-B222-EEB34E6D45DC}"/>
                </c:ext>
              </c:extLst>
            </c:dLbl>
            <c:dLbl>
              <c:idx val="2"/>
              <c:layout>
                <c:manualLayout>
                  <c:x val="9.7222222222222293E-3"/>
                  <c:y val="0.13306434873414416"/>
                </c:manualLayout>
              </c:layout>
              <c:showLegendKey val="0"/>
              <c:showVal val="1"/>
              <c:showCatName val="1"/>
              <c:showSerName val="0"/>
              <c:showPercent val="1"/>
              <c:showBubbleSize val="0"/>
              <c:extLst>
                <c:ext xmlns:c15="http://schemas.microsoft.com/office/drawing/2012/chart" uri="{CE6537A1-D6FC-4f65-9D91-7224C49458BB}">
                  <c15:layout>
                    <c:manualLayout>
                      <c:w val="0.2029582239720035"/>
                      <c:h val="6.3799440753037298E-2"/>
                    </c:manualLayout>
                  </c15:layout>
                </c:ext>
                <c:ext xmlns:c16="http://schemas.microsoft.com/office/drawing/2014/chart" uri="{C3380CC4-5D6E-409C-BE32-E72D297353CC}">
                  <c16:uniqueId val="{00000007-3385-48B6-B222-EEB34E6D45DC}"/>
                </c:ext>
              </c:extLst>
            </c:dLbl>
            <c:dLbl>
              <c:idx val="3"/>
              <c:layout>
                <c:manualLayout>
                  <c:x val="-0.19861100174978127"/>
                  <c:y val="6.116928268017123E-2"/>
                </c:manualLayout>
              </c:layout>
              <c:showLegendKey val="0"/>
              <c:showVal val="1"/>
              <c:showCatName val="1"/>
              <c:showSerName val="0"/>
              <c:showPercent val="1"/>
              <c:showBubbleSize val="0"/>
              <c:extLst>
                <c:ext xmlns:c15="http://schemas.microsoft.com/office/drawing/2012/chart" uri="{CE6537A1-D6FC-4f65-9D91-7224C49458BB}">
                  <c15:layout>
                    <c:manualLayout>
                      <c:w val="0.25813888888888886"/>
                      <c:h val="0.18760134149897931"/>
                    </c:manualLayout>
                  </c15:layout>
                </c:ext>
                <c:ext xmlns:c16="http://schemas.microsoft.com/office/drawing/2014/chart" uri="{C3380CC4-5D6E-409C-BE32-E72D297353CC}">
                  <c16:uniqueId val="{00000006-3385-48B6-B222-EEB34E6D45DC}"/>
                </c:ext>
              </c:extLst>
            </c:dLbl>
            <c:dLbl>
              <c:idx val="4"/>
              <c:layout>
                <c:manualLayout>
                  <c:x val="-0.22499999999999998"/>
                  <c:y val="4.1666620529971492E-2"/>
                </c:manualLayout>
              </c:layout>
              <c:showLegendKey val="0"/>
              <c:showVal val="1"/>
              <c:showCatName val="1"/>
              <c:showSerName val="0"/>
              <c:showPercent val="1"/>
              <c:showBubbleSize val="0"/>
              <c:extLst>
                <c:ext xmlns:c15="http://schemas.microsoft.com/office/drawing/2012/chart" uri="{CE6537A1-D6FC-4f65-9D91-7224C49458BB}">
                  <c15:layout>
                    <c:manualLayout>
                      <c:w val="0.15595822397200351"/>
                      <c:h val="0.12030101592141863"/>
                    </c:manualLayout>
                  </c15:layout>
                </c:ext>
                <c:ext xmlns:c16="http://schemas.microsoft.com/office/drawing/2014/chart" uri="{C3380CC4-5D6E-409C-BE32-E72D297353CC}">
                  <c16:uniqueId val="{00000003-3385-48B6-B222-EEB34E6D45DC}"/>
                </c:ext>
              </c:extLst>
            </c:dLbl>
            <c:dLbl>
              <c:idx val="5"/>
              <c:layout>
                <c:manualLayout>
                  <c:x val="-0.12777777777777785"/>
                  <c:y val="-8.1018518518518517E-2"/>
                </c:manualLayout>
              </c:layout>
              <c:showLegendKey val="0"/>
              <c:showVal val="1"/>
              <c:showCatName val="1"/>
              <c:showSerName val="0"/>
              <c:showPercent val="1"/>
              <c:showBubbleSize val="0"/>
              <c:extLst>
                <c:ext xmlns:c15="http://schemas.microsoft.com/office/drawing/2012/chart" uri="{CE6537A1-D6FC-4f65-9D91-7224C49458BB}">
                  <c15:layout>
                    <c:manualLayout>
                      <c:w val="0.13340266841644791"/>
                      <c:h val="0.12493073782443861"/>
                    </c:manualLayout>
                  </c15:layout>
                </c:ext>
                <c:ext xmlns:c16="http://schemas.microsoft.com/office/drawing/2014/chart" uri="{C3380CC4-5D6E-409C-BE32-E72D297353CC}">
                  <c16:uniqueId val="{00000005-3385-48B6-B222-EEB34E6D45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PivotTable!$A$37:$A$43</c:f>
              <c:strCache>
                <c:ptCount val="6"/>
                <c:pt idx="0">
                  <c:v>AZ</c:v>
                </c:pt>
                <c:pt idx="1">
                  <c:v>CA</c:v>
                </c:pt>
                <c:pt idx="2">
                  <c:v>CO</c:v>
                </c:pt>
                <c:pt idx="3">
                  <c:v>NM</c:v>
                </c:pt>
                <c:pt idx="4">
                  <c:v>NV</c:v>
                </c:pt>
                <c:pt idx="5">
                  <c:v>UT</c:v>
                </c:pt>
              </c:strCache>
            </c:strRef>
          </c:cat>
          <c:val>
            <c:numRef>
              <c:f>PivotTable!$B$37:$B$43</c:f>
              <c:numCache>
                <c:formatCode>_("$"* #,##0_);_("$"* \(#,##0\);_("$"* "-"??_);_(@_)</c:formatCode>
                <c:ptCount val="6"/>
                <c:pt idx="0">
                  <c:v>1979.0999999999995</c:v>
                </c:pt>
                <c:pt idx="1">
                  <c:v>1485.0999999999997</c:v>
                </c:pt>
                <c:pt idx="2">
                  <c:v>23.799999999999997</c:v>
                </c:pt>
                <c:pt idx="3">
                  <c:v>681.8</c:v>
                </c:pt>
                <c:pt idx="4">
                  <c:v>1710.1</c:v>
                </c:pt>
                <c:pt idx="5">
                  <c:v>476.8</c:v>
                </c:pt>
              </c:numCache>
            </c:numRef>
          </c:val>
          <c:extLst>
            <c:ext xmlns:c16="http://schemas.microsoft.com/office/drawing/2014/chart" uri="{C3380CC4-5D6E-409C-BE32-E72D297353CC}">
              <c16:uniqueId val="{00000000-3385-48B6-B222-EEB34E6D45DC}"/>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[Profit.Tracker.xlsx]PivotTable!PivotTable9</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rgbClr val="FFFF00"/>
          </a:solidFill>
          <a:ln>
            <a:noFill/>
          </a:ln>
          <a:effectLst/>
        </c:spPr>
      </c:pivotFmt>
      <c:pivotFmt>
        <c:idx val="3"/>
        <c:spPr>
          <a:solidFill>
            <a:schemeClr val="accent6"/>
          </a:solidFill>
          <a:ln>
            <a:noFill/>
          </a:ln>
          <a:effectLst/>
        </c:spPr>
      </c:pivotFmt>
      <c:pivotFmt>
        <c:idx val="4"/>
        <c:spPr>
          <a:solidFill>
            <a:schemeClr val="accent6">
              <a:lumMod val="40000"/>
              <a:lumOff val="60000"/>
            </a:schemeClr>
          </a:solidFill>
          <a:ln>
            <a:noFill/>
          </a:ln>
          <a:effectLst/>
        </c:spPr>
      </c:pivotFmt>
      <c:pivotFmt>
        <c:idx val="5"/>
        <c:spPr>
          <a:solidFill>
            <a:schemeClr val="accent6">
              <a:lumMod val="20000"/>
              <a:lumOff val="80000"/>
            </a:schemeClr>
          </a:solidFill>
          <a:ln>
            <a:noFill/>
          </a:ln>
          <a:effectLst/>
        </c:spPr>
      </c:pivotFmt>
    </c:pivotFmts>
    <c:plotArea>
      <c:layout/>
      <c:barChart>
        <c:barDir val="bar"/>
        <c:grouping val="clustered"/>
        <c:varyColors val="0"/>
        <c:ser>
          <c:idx val="0"/>
          <c:order val="0"/>
          <c:tx>
            <c:strRef>
              <c:f>PivotTable!$B$62</c:f>
              <c:strCache>
                <c:ptCount val="1"/>
                <c:pt idx="0">
                  <c:v>Total</c:v>
                </c:pt>
              </c:strCache>
            </c:strRef>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2-A647-45F2-AE90-9446E2808A7E}"/>
              </c:ext>
            </c:extLst>
          </c:dPt>
          <c:dPt>
            <c:idx val="1"/>
            <c:invertIfNegative val="0"/>
            <c:bubble3D val="0"/>
            <c:spPr>
              <a:solidFill>
                <a:srgbClr val="FFFF00"/>
              </a:solidFill>
              <a:ln>
                <a:noFill/>
              </a:ln>
              <a:effectLst/>
            </c:spPr>
            <c:extLst>
              <c:ext xmlns:c16="http://schemas.microsoft.com/office/drawing/2014/chart" uri="{C3380CC4-5D6E-409C-BE32-E72D297353CC}">
                <c16:uniqueId val="{00000003-A647-45F2-AE90-9446E2808A7E}"/>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4-A647-45F2-AE90-9446E2808A7E}"/>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5-A647-45F2-AE90-9446E2808A7E}"/>
              </c:ext>
            </c:extLst>
          </c:dPt>
          <c:dPt>
            <c:idx val="4"/>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6-A647-45F2-AE90-9446E2808A7E}"/>
              </c:ext>
            </c:extLst>
          </c:dPt>
          <c:cat>
            <c:strRef>
              <c:f>PivotTable!$A$63:$A$68</c:f>
              <c:strCache>
                <c:ptCount val="5"/>
                <c:pt idx="0">
                  <c:v>Water Pump</c:v>
                </c:pt>
                <c:pt idx="1">
                  <c:v>Skimmer</c:v>
                </c:pt>
                <c:pt idx="2">
                  <c:v>Pool Cover</c:v>
                </c:pt>
                <c:pt idx="3">
                  <c:v>AutoVac</c:v>
                </c:pt>
                <c:pt idx="4">
                  <c:v>5 Gal Chlorine</c:v>
                </c:pt>
              </c:strCache>
            </c:strRef>
          </c:cat>
          <c:val>
            <c:numRef>
              <c:f>PivotTable!$B$63:$B$68</c:f>
              <c:numCache>
                <c:formatCode>General</c:formatCode>
                <c:ptCount val="5"/>
                <c:pt idx="0">
                  <c:v>10040</c:v>
                </c:pt>
                <c:pt idx="1">
                  <c:v>1305</c:v>
                </c:pt>
                <c:pt idx="2">
                  <c:v>2066.4000000000005</c:v>
                </c:pt>
                <c:pt idx="3">
                  <c:v>1984</c:v>
                </c:pt>
                <c:pt idx="4">
                  <c:v>693</c:v>
                </c:pt>
              </c:numCache>
            </c:numRef>
          </c:val>
          <c:extLst>
            <c:ext xmlns:c16="http://schemas.microsoft.com/office/drawing/2014/chart" uri="{C3380CC4-5D6E-409C-BE32-E72D297353CC}">
              <c16:uniqueId val="{00000000-A647-45F2-AE90-9446E2808A7E}"/>
            </c:ext>
          </c:extLst>
        </c:ser>
        <c:dLbls>
          <c:showLegendKey val="0"/>
          <c:showVal val="0"/>
          <c:showCatName val="0"/>
          <c:showSerName val="0"/>
          <c:showPercent val="0"/>
          <c:showBubbleSize val="0"/>
        </c:dLbls>
        <c:gapWidth val="182"/>
        <c:axId val="275027407"/>
        <c:axId val="275024911"/>
      </c:barChart>
      <c:catAx>
        <c:axId val="275027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75024911"/>
        <c:crosses val="autoZero"/>
        <c:auto val="1"/>
        <c:lblAlgn val="ctr"/>
        <c:lblOffset val="100"/>
        <c:noMultiLvlLbl val="0"/>
      </c:catAx>
      <c:valAx>
        <c:axId val="275024911"/>
        <c:scaling>
          <c:orientation val="minMax"/>
        </c:scaling>
        <c:delete val="0"/>
        <c:axPos val="b"/>
        <c:majorGridlines>
          <c:spPr>
            <a:ln w="9525" cap="flat" cmpd="sng" algn="ctr">
              <a:solidFill>
                <a:schemeClr val="accent2">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75027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[Profit.Tracker.xlsx]PivotTable!PivotTable4</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PivotTable!$X$4</c:f>
              <c:strCache>
                <c:ptCount val="1"/>
                <c:pt idx="0">
                  <c:v>Total</c:v>
                </c:pt>
              </c:strCache>
            </c:strRef>
          </c:tx>
          <c:spPr>
            <a:ln w="28575" cap="rnd">
              <a:solidFill>
                <a:schemeClr val="accent1"/>
              </a:solidFill>
              <a:round/>
            </a:ln>
            <a:effectLst/>
          </c:spPr>
          <c:marker>
            <c:symbol val="none"/>
          </c:marker>
          <c:cat>
            <c:strRef>
              <c:f>PivotTable!$W$5:$W$17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PivotTable!$X$5:$X$17</c:f>
              <c:numCache>
                <c:formatCode>General</c:formatCode>
                <c:ptCount val="12"/>
                <c:pt idx="0">
                  <c:v>1409.4999999999998</c:v>
                </c:pt>
                <c:pt idx="1">
                  <c:v>841.40000000000009</c:v>
                </c:pt>
                <c:pt idx="2">
                  <c:v>1421.3999999999999</c:v>
                </c:pt>
                <c:pt idx="3">
                  <c:v>1089.7</c:v>
                </c:pt>
                <c:pt idx="4">
                  <c:v>214.4</c:v>
                </c:pt>
                <c:pt idx="5">
                  <c:v>409.90000000000003</c:v>
                </c:pt>
                <c:pt idx="6">
                  <c:v>186.10000000000002</c:v>
                </c:pt>
                <c:pt idx="7">
                  <c:v>2253</c:v>
                </c:pt>
                <c:pt idx="8">
                  <c:v>2508.2000000000003</c:v>
                </c:pt>
                <c:pt idx="9">
                  <c:v>1927.6</c:v>
                </c:pt>
                <c:pt idx="10">
                  <c:v>2473.8000000000002</c:v>
                </c:pt>
                <c:pt idx="11">
                  <c:v>2375.6</c:v>
                </c:pt>
              </c:numCache>
            </c:numRef>
          </c:val>
          <c:smooth val="0"/>
          <c:extLst>
            <c:ext xmlns:c16="http://schemas.microsoft.com/office/drawing/2014/chart" uri="{C3380CC4-5D6E-409C-BE32-E72D297353CC}">
              <c16:uniqueId val="{00000000-4306-412F-9BE0-0835E3C5F8CE}"/>
            </c:ext>
          </c:extLst>
        </c:ser>
        <c:dLbls>
          <c:showLegendKey val="0"/>
          <c:showVal val="0"/>
          <c:showCatName val="0"/>
          <c:showSerName val="0"/>
          <c:showPercent val="0"/>
          <c:showBubbleSize val="0"/>
        </c:dLbls>
        <c:smooth val="0"/>
        <c:axId val="917115903"/>
        <c:axId val="917134207"/>
      </c:lineChart>
      <c:catAx>
        <c:axId val="91711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134207"/>
        <c:crosses val="autoZero"/>
        <c:auto val="1"/>
        <c:lblAlgn val="ctr"/>
        <c:lblOffset val="100"/>
        <c:noMultiLvlLbl val="0"/>
      </c:catAx>
      <c:valAx>
        <c:axId val="917134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115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[Profit.Tracker.xlsx]PivotTable!PivotTable1</c:name>
    <c:fmtId val="5"/>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pivotFmt>
      <c:pivotFmt>
        <c:idx val="2"/>
        <c:spPr>
          <a:solidFill>
            <a:srgbClr val="92D050"/>
          </a:solidFill>
          <a:ln>
            <a:noFill/>
          </a:ln>
          <a:effectLst/>
        </c:spPr>
      </c:pivotFmt>
      <c:pivotFmt>
        <c:idx val="3"/>
        <c:spPr>
          <a:solidFill>
            <a:srgbClr val="00B050"/>
          </a:solidFill>
          <a:ln>
            <a:noFill/>
          </a:ln>
          <a:effectLst/>
        </c:spPr>
      </c:pivotFmt>
      <c:pivotFmt>
        <c:idx val="4"/>
        <c:spPr>
          <a:solidFill>
            <a:srgbClr val="00B050"/>
          </a:solidFill>
          <a:ln>
            <a:noFill/>
          </a:ln>
          <a:effectLst/>
        </c:spPr>
      </c:pivotFmt>
      <c:pivotFmt>
        <c:idx val="5"/>
        <c:spPr>
          <a:solidFill>
            <a:srgbClr val="002060"/>
          </a:solidFill>
          <a:ln>
            <a:noFill/>
          </a:ln>
          <a:effectLst/>
        </c:spPr>
      </c:pivotFmt>
      <c:pivotFmt>
        <c:idx val="6"/>
        <c:spPr>
          <a:solidFill>
            <a:srgbClr val="7030A0"/>
          </a:solidFill>
          <a:ln>
            <a:noFill/>
          </a:ln>
          <a:effectLst/>
        </c:spPr>
      </c:pivotFmt>
      <c:pivotFmt>
        <c:idx val="7"/>
        <c:spPr>
          <a:solidFill>
            <a:schemeClr val="accent6">
              <a:lumMod val="75000"/>
            </a:schemeClr>
          </a:solidFill>
          <a:ln>
            <a:noFill/>
          </a:ln>
          <a:effectLst/>
        </c:spPr>
      </c:pivotFmt>
      <c:pivotFmt>
        <c:idx val="8"/>
        <c:spPr>
          <a:solidFill>
            <a:schemeClr val="accent3">
              <a:lumMod val="75000"/>
            </a:schemeClr>
          </a:solidFill>
          <a:ln>
            <a:noFill/>
          </a:ln>
          <a:effectLst/>
        </c:spPr>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lumMod val="75000"/>
            </a:schemeClr>
          </a:solidFill>
          <a:ln>
            <a:noFill/>
          </a:ln>
          <a:effectLst/>
        </c:spPr>
      </c:pivotFmt>
      <c:pivotFmt>
        <c:idx val="11"/>
        <c:spPr>
          <a:solidFill>
            <a:schemeClr val="accent6">
              <a:lumMod val="75000"/>
            </a:schemeClr>
          </a:solidFill>
          <a:ln>
            <a:noFill/>
          </a:ln>
          <a:effectLst/>
        </c:spPr>
      </c:pivotFmt>
      <c:pivotFmt>
        <c:idx val="12"/>
        <c:spPr>
          <a:solidFill>
            <a:srgbClr val="7030A0"/>
          </a:solidFill>
          <a:ln>
            <a:noFill/>
          </a:ln>
          <a:effectLst/>
        </c:spPr>
      </c:pivotFmt>
      <c:pivotFmt>
        <c:idx val="13"/>
        <c:spPr>
          <a:solidFill>
            <a:srgbClr val="002060"/>
          </a:solidFill>
          <a:ln>
            <a:noFill/>
          </a:ln>
          <a:effectLst/>
        </c:spPr>
      </c:pivotFmt>
      <c:pivotFmt>
        <c:idx val="14"/>
        <c:spPr>
          <a:solidFill>
            <a:srgbClr val="00B050"/>
          </a:solidFill>
          <a:ln>
            <a:noFill/>
          </a:ln>
          <a:effectLst/>
        </c:spPr>
      </c:pivotFmt>
      <c:pivotFmt>
        <c:idx val="15"/>
        <c:spPr>
          <a:solidFill>
            <a:srgbClr val="00B050"/>
          </a:solidFill>
          <a:ln>
            <a:noFill/>
          </a:ln>
          <a:effectLst/>
        </c:spPr>
      </c:pivotFmt>
      <c:pivotFmt>
        <c:idx val="16"/>
        <c:spPr>
          <a:solidFill>
            <a:srgbClr val="92D050"/>
          </a:solidFill>
          <a:ln>
            <a:noFill/>
          </a:ln>
          <a:effectLst/>
        </c:spPr>
      </c:pivotFmt>
      <c:pivotFmt>
        <c:idx val="17"/>
        <c:spPr>
          <a:solidFill>
            <a:srgbClr val="FFFF00"/>
          </a:solidFill>
          <a:ln>
            <a:noFill/>
          </a:ln>
          <a:effectLst/>
        </c:spPr>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3">
              <a:lumMod val="75000"/>
            </a:schemeClr>
          </a:solidFill>
          <a:ln>
            <a:noFill/>
          </a:ln>
          <a:effectLst/>
        </c:spPr>
      </c:pivotFmt>
      <c:pivotFmt>
        <c:idx val="20"/>
        <c:spPr>
          <a:solidFill>
            <a:schemeClr val="accent6">
              <a:lumMod val="75000"/>
            </a:schemeClr>
          </a:solidFill>
          <a:ln>
            <a:noFill/>
          </a:ln>
          <a:effectLst/>
        </c:spPr>
      </c:pivotFmt>
      <c:pivotFmt>
        <c:idx val="21"/>
        <c:spPr>
          <a:solidFill>
            <a:srgbClr val="7030A0"/>
          </a:solidFill>
          <a:ln>
            <a:noFill/>
          </a:ln>
          <a:effectLst/>
        </c:spPr>
      </c:pivotFmt>
      <c:pivotFmt>
        <c:idx val="22"/>
        <c:spPr>
          <a:solidFill>
            <a:srgbClr val="002060"/>
          </a:solidFill>
          <a:ln>
            <a:noFill/>
          </a:ln>
          <a:effectLst/>
        </c:spPr>
      </c:pivotFmt>
      <c:pivotFmt>
        <c:idx val="23"/>
        <c:spPr>
          <a:solidFill>
            <a:srgbClr val="00B050"/>
          </a:solidFill>
          <a:ln>
            <a:noFill/>
          </a:ln>
          <a:effectLst/>
        </c:spPr>
      </c:pivotFmt>
      <c:pivotFmt>
        <c:idx val="24"/>
        <c:spPr>
          <a:solidFill>
            <a:srgbClr val="00B050"/>
          </a:solidFill>
          <a:ln>
            <a:noFill/>
          </a:ln>
          <a:effectLst/>
        </c:spPr>
      </c:pivotFmt>
      <c:pivotFmt>
        <c:idx val="25"/>
        <c:spPr>
          <a:solidFill>
            <a:srgbClr val="92D050"/>
          </a:solidFill>
          <a:ln>
            <a:noFill/>
          </a:ln>
          <a:effectLst/>
        </c:spPr>
      </c:pivotFmt>
      <c:pivotFmt>
        <c:idx val="26"/>
        <c:spPr>
          <a:solidFill>
            <a:srgbClr val="FFFF00"/>
          </a:solidFill>
          <a:ln>
            <a:noFill/>
          </a:ln>
          <a:effectLst/>
        </c:spPr>
      </c:pivotFmt>
    </c:pivotFmts>
    <c:plotArea>
      <c:layout>
        <c:manualLayout>
          <c:layoutTarget val="inner"/>
          <c:xMode val="edge"/>
          <c:yMode val="edge"/>
          <c:x val="0.13287807549236202"/>
          <c:y val="0.23055669898378853"/>
          <c:w val="0.80301596675415576"/>
          <c:h val="0.52467180310727979"/>
        </c:manualLayout>
      </c:layout>
      <c:barChart>
        <c:barDir val="col"/>
        <c:grouping val="stacked"/>
        <c:varyColors val="0"/>
        <c:ser>
          <c:idx val="0"/>
          <c:order val="0"/>
          <c:tx>
            <c:strRef>
              <c:f>PivotTable!$B$6</c:f>
              <c:strCache>
                <c:ptCount val="1"/>
                <c:pt idx="0">
                  <c:v>Total</c:v>
                </c:pt>
              </c:strCache>
            </c:strRef>
          </c:tx>
          <c:spPr>
            <a:solidFill>
              <a:schemeClr val="accent2"/>
            </a:solidFill>
            <a:ln>
              <a:noFill/>
            </a:ln>
            <a:effectLst/>
          </c:spPr>
          <c:invertIfNegative val="0"/>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1-21B9-4E1D-8369-9C0F64EFD3E8}"/>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3-21B9-4E1D-8369-9C0F64EFD3E8}"/>
              </c:ext>
            </c:extLst>
          </c:dPt>
          <c:dPt>
            <c:idx val="3"/>
            <c:invertIfNegative val="0"/>
            <c:bubble3D val="0"/>
            <c:spPr>
              <a:solidFill>
                <a:srgbClr val="7030A0"/>
              </a:solidFill>
              <a:ln>
                <a:noFill/>
              </a:ln>
              <a:effectLst/>
            </c:spPr>
            <c:extLst>
              <c:ext xmlns:c16="http://schemas.microsoft.com/office/drawing/2014/chart" uri="{C3380CC4-5D6E-409C-BE32-E72D297353CC}">
                <c16:uniqueId val="{00000005-21B9-4E1D-8369-9C0F64EFD3E8}"/>
              </c:ext>
            </c:extLst>
          </c:dPt>
          <c:dPt>
            <c:idx val="4"/>
            <c:invertIfNegative val="0"/>
            <c:bubble3D val="0"/>
            <c:spPr>
              <a:solidFill>
                <a:srgbClr val="002060"/>
              </a:solidFill>
              <a:ln>
                <a:noFill/>
              </a:ln>
              <a:effectLst/>
            </c:spPr>
            <c:extLst>
              <c:ext xmlns:c16="http://schemas.microsoft.com/office/drawing/2014/chart" uri="{C3380CC4-5D6E-409C-BE32-E72D297353CC}">
                <c16:uniqueId val="{00000007-21B9-4E1D-8369-9C0F64EFD3E8}"/>
              </c:ext>
            </c:extLst>
          </c:dPt>
          <c:dPt>
            <c:idx val="5"/>
            <c:invertIfNegative val="0"/>
            <c:bubble3D val="0"/>
            <c:spPr>
              <a:solidFill>
                <a:srgbClr val="00B050"/>
              </a:solidFill>
              <a:ln>
                <a:noFill/>
              </a:ln>
              <a:effectLst/>
            </c:spPr>
            <c:extLst>
              <c:ext xmlns:c16="http://schemas.microsoft.com/office/drawing/2014/chart" uri="{C3380CC4-5D6E-409C-BE32-E72D297353CC}">
                <c16:uniqueId val="{00000009-21B9-4E1D-8369-9C0F64EFD3E8}"/>
              </c:ext>
            </c:extLst>
          </c:dPt>
          <c:dPt>
            <c:idx val="6"/>
            <c:invertIfNegative val="0"/>
            <c:bubble3D val="0"/>
            <c:spPr>
              <a:solidFill>
                <a:srgbClr val="00B050"/>
              </a:solidFill>
              <a:ln>
                <a:noFill/>
              </a:ln>
              <a:effectLst/>
            </c:spPr>
            <c:extLst>
              <c:ext xmlns:c16="http://schemas.microsoft.com/office/drawing/2014/chart" uri="{C3380CC4-5D6E-409C-BE32-E72D297353CC}">
                <c16:uniqueId val="{0000000B-21B9-4E1D-8369-9C0F64EFD3E8}"/>
              </c:ext>
            </c:extLst>
          </c:dPt>
          <c:dPt>
            <c:idx val="7"/>
            <c:invertIfNegative val="0"/>
            <c:bubble3D val="0"/>
            <c:spPr>
              <a:solidFill>
                <a:srgbClr val="92D050"/>
              </a:solidFill>
              <a:ln>
                <a:noFill/>
              </a:ln>
              <a:effectLst/>
            </c:spPr>
            <c:extLst>
              <c:ext xmlns:c16="http://schemas.microsoft.com/office/drawing/2014/chart" uri="{C3380CC4-5D6E-409C-BE32-E72D297353CC}">
                <c16:uniqueId val="{0000000D-21B9-4E1D-8369-9C0F64EFD3E8}"/>
              </c:ext>
            </c:extLst>
          </c:dPt>
          <c:dPt>
            <c:idx val="8"/>
            <c:invertIfNegative val="0"/>
            <c:bubble3D val="0"/>
            <c:spPr>
              <a:solidFill>
                <a:srgbClr val="FFFF00"/>
              </a:solidFill>
              <a:ln>
                <a:noFill/>
              </a:ln>
              <a:effectLst/>
            </c:spPr>
            <c:extLst>
              <c:ext xmlns:c16="http://schemas.microsoft.com/office/drawing/2014/chart" uri="{C3380CC4-5D6E-409C-BE32-E72D297353CC}">
                <c16:uniqueId val="{0000000F-21B9-4E1D-8369-9C0F64EFD3E8}"/>
              </c:ext>
            </c:extLst>
          </c:dPt>
          <c:cat>
            <c:strRef>
              <c:f>PivotTable!$A$7:$A$17</c:f>
              <c:strCache>
                <c:ptCount val="10"/>
                <c:pt idx="0">
                  <c:v>1 Gal Muratic Acid</c:v>
                </c:pt>
                <c:pt idx="1">
                  <c:v>5 Gal Chlorine</c:v>
                </c:pt>
                <c:pt idx="2">
                  <c:v>8 ft Hose</c:v>
                </c:pt>
                <c:pt idx="3">
                  <c:v>Algea Killer 8 oz</c:v>
                </c:pt>
                <c:pt idx="4">
                  <c:v>AutoVac</c:v>
                </c:pt>
                <c:pt idx="5">
                  <c:v>Chlorine Test Kit</c:v>
                </c:pt>
                <c:pt idx="6">
                  <c:v>Net</c:v>
                </c:pt>
                <c:pt idx="7">
                  <c:v>Pool Cover</c:v>
                </c:pt>
                <c:pt idx="8">
                  <c:v>Skimmer</c:v>
                </c:pt>
                <c:pt idx="9">
                  <c:v>Water Pump</c:v>
                </c:pt>
              </c:strCache>
            </c:strRef>
          </c:cat>
          <c:val>
            <c:numRef>
              <c:f>PivotTable!$B$7:$B$17</c:f>
              <c:numCache>
                <c:formatCode>_("$"* #,##0.00_);_("$"* \(#,##0.00\);_("$"* "-"??_);_(@_)</c:formatCode>
                <c:ptCount val="10"/>
                <c:pt idx="0">
                  <c:v>77</c:v>
                </c:pt>
                <c:pt idx="1">
                  <c:v>693</c:v>
                </c:pt>
                <c:pt idx="2">
                  <c:v>183.99999999999994</c:v>
                </c:pt>
                <c:pt idx="3">
                  <c:v>210</c:v>
                </c:pt>
                <c:pt idx="4">
                  <c:v>1984</c:v>
                </c:pt>
                <c:pt idx="5">
                  <c:v>160</c:v>
                </c:pt>
                <c:pt idx="6">
                  <c:v>391.20000000000016</c:v>
                </c:pt>
                <c:pt idx="7">
                  <c:v>2066.4000000000005</c:v>
                </c:pt>
                <c:pt idx="8">
                  <c:v>1305</c:v>
                </c:pt>
                <c:pt idx="9">
                  <c:v>10040</c:v>
                </c:pt>
              </c:numCache>
            </c:numRef>
          </c:val>
          <c:extLst>
            <c:ext xmlns:c16="http://schemas.microsoft.com/office/drawing/2014/chart" uri="{C3380CC4-5D6E-409C-BE32-E72D297353CC}">
              <c16:uniqueId val="{00000010-21B9-4E1D-8369-9C0F64EFD3E8}"/>
            </c:ext>
          </c:extLst>
        </c:ser>
        <c:dLbls>
          <c:showLegendKey val="0"/>
          <c:showVal val="0"/>
          <c:showCatName val="0"/>
          <c:showSerName val="0"/>
          <c:showPercent val="0"/>
          <c:showBubbleSize val="0"/>
        </c:dLbls>
        <c:gapWidth val="150"/>
        <c:overlap val="100"/>
        <c:axId val="14381231"/>
        <c:axId val="14391215"/>
      </c:barChart>
      <c:catAx>
        <c:axId val="1438123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391215"/>
        <c:crosses val="autoZero"/>
        <c:auto val="1"/>
        <c:lblAlgn val="ctr"/>
        <c:lblOffset val="100"/>
        <c:noMultiLvlLbl val="0"/>
      </c:catAx>
      <c:valAx>
        <c:axId val="14391215"/>
        <c:scaling>
          <c:orientation val="minMax"/>
        </c:scaling>
        <c:delete val="0"/>
        <c:axPos val="l"/>
        <c:majorGridlines>
          <c:spPr>
            <a:ln w="9525" cap="flat" cmpd="sng" algn="ctr">
              <a:solidFill>
                <a:srgbClr val="FFC000">
                  <a:alpha val="20000"/>
                </a:srgbClr>
              </a:solidFill>
              <a:round/>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381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[Profit.Tracker.xlsx]PivotTable!PivotTable5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rgbClr val="FFC000"/>
          </a:solidFill>
          <a:ln>
            <a:noFill/>
          </a:ln>
          <a:effectLst/>
        </c:spPr>
      </c:pivotFmt>
      <c:pivotFmt>
        <c:idx val="3"/>
        <c:spPr>
          <a:solidFill>
            <a:srgbClr val="FFFF00"/>
          </a:solidFill>
          <a:ln>
            <a:noFill/>
          </a:ln>
          <a:effectLst/>
        </c:spPr>
      </c:pivotFmt>
      <c:pivotFmt>
        <c:idx val="4"/>
        <c:spPr>
          <a:solidFill>
            <a:schemeClr val="accent1">
              <a:lumMod val="75000"/>
            </a:schemeClr>
          </a:solidFill>
          <a:ln>
            <a:noFill/>
          </a:ln>
          <a:effectLst/>
        </c:spPr>
      </c:pivotFmt>
      <c:pivotFmt>
        <c:idx val="5"/>
        <c:spPr>
          <a:solidFill>
            <a:srgbClr val="00B050"/>
          </a:solidFill>
          <a:ln>
            <a:noFill/>
          </a:ln>
          <a:effectLst/>
        </c:spPr>
      </c:pivotFmt>
      <c:pivotFmt>
        <c:idx val="6"/>
        <c:spPr>
          <a:solidFill>
            <a:srgbClr val="7030A0"/>
          </a:solidFill>
          <a:ln>
            <a:noFill/>
          </a:ln>
          <a:effectLst/>
        </c:spPr>
      </c:pivotFmt>
      <c:pivotFmt>
        <c:idx val="7"/>
        <c:spPr>
          <a:solidFill>
            <a:schemeClr val="accent6">
              <a:lumMod val="75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pivotFmt>
      <c:pivotFmt>
        <c:idx val="10"/>
        <c:spPr>
          <a:solidFill>
            <a:srgbClr val="7030A0"/>
          </a:solidFill>
          <a:ln>
            <a:noFill/>
          </a:ln>
          <a:effectLst/>
        </c:spPr>
      </c:pivotFmt>
      <c:pivotFmt>
        <c:idx val="11"/>
        <c:spPr>
          <a:solidFill>
            <a:srgbClr val="00B050"/>
          </a:solidFill>
          <a:ln>
            <a:noFill/>
          </a:ln>
          <a:effectLst/>
        </c:spPr>
      </c:pivotFmt>
      <c:pivotFmt>
        <c:idx val="12"/>
        <c:spPr>
          <a:solidFill>
            <a:schemeClr val="accent1">
              <a:lumMod val="75000"/>
            </a:schemeClr>
          </a:solidFill>
          <a:ln>
            <a:noFill/>
          </a:ln>
          <a:effectLst/>
        </c:spPr>
      </c:pivotFmt>
      <c:pivotFmt>
        <c:idx val="13"/>
        <c:spPr>
          <a:solidFill>
            <a:srgbClr val="FFFF00"/>
          </a:solidFill>
          <a:ln>
            <a:noFill/>
          </a:ln>
          <a:effectLst/>
        </c:spPr>
      </c:pivotFmt>
      <c:pivotFmt>
        <c:idx val="14"/>
        <c:spPr>
          <a:solidFill>
            <a:srgbClr val="FFC000"/>
          </a:solidFill>
          <a:ln>
            <a:noFill/>
          </a:ln>
          <a:effectLst/>
        </c:spPr>
      </c:pivotFmt>
      <c:pivotFmt>
        <c:idx val="15"/>
        <c:spPr>
          <a:solidFill>
            <a:schemeClr val="accent2"/>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lumMod val="75000"/>
            </a:schemeClr>
          </a:solidFill>
          <a:ln>
            <a:noFill/>
          </a:ln>
          <a:effectLst/>
        </c:spPr>
      </c:pivotFmt>
      <c:pivotFmt>
        <c:idx val="18"/>
        <c:spPr>
          <a:solidFill>
            <a:srgbClr val="7030A0"/>
          </a:solidFill>
          <a:ln>
            <a:noFill/>
          </a:ln>
          <a:effectLst/>
        </c:spPr>
      </c:pivotFmt>
      <c:pivotFmt>
        <c:idx val="19"/>
        <c:spPr>
          <a:solidFill>
            <a:srgbClr val="00B050"/>
          </a:solidFill>
          <a:ln>
            <a:noFill/>
          </a:ln>
          <a:effectLst/>
        </c:spPr>
      </c:pivotFmt>
      <c:pivotFmt>
        <c:idx val="20"/>
        <c:spPr>
          <a:solidFill>
            <a:schemeClr val="accent1">
              <a:lumMod val="75000"/>
            </a:schemeClr>
          </a:solidFill>
          <a:ln>
            <a:noFill/>
          </a:ln>
          <a:effectLst/>
        </c:spPr>
      </c:pivotFmt>
      <c:pivotFmt>
        <c:idx val="21"/>
        <c:spPr>
          <a:solidFill>
            <a:srgbClr val="FFFF00"/>
          </a:solidFill>
          <a:ln>
            <a:noFill/>
          </a:ln>
          <a:effectLst/>
        </c:spPr>
      </c:pivotFmt>
      <c:pivotFmt>
        <c:idx val="22"/>
        <c:spPr>
          <a:solidFill>
            <a:srgbClr val="FFC000"/>
          </a:solidFill>
          <a:ln>
            <a:noFill/>
          </a:ln>
          <a:effectLst/>
        </c:spPr>
      </c:pivotFmt>
      <c:pivotFmt>
        <c:idx val="23"/>
        <c:spPr>
          <a:solidFill>
            <a:schemeClr val="accent2"/>
          </a:solidFill>
          <a:ln>
            <a:noFill/>
          </a:ln>
          <a:effectLst/>
        </c:spPr>
      </c:pivotFmt>
    </c:pivotFmts>
    <c:plotArea>
      <c:layout/>
      <c:barChart>
        <c:barDir val="col"/>
        <c:grouping val="stacked"/>
        <c:varyColors val="0"/>
        <c:ser>
          <c:idx val="0"/>
          <c:order val="0"/>
          <c:tx>
            <c:strRef>
              <c:f>PivotTable!$B$22</c:f>
              <c:strCache>
                <c:ptCount val="1"/>
                <c:pt idx="0">
                  <c:v>Total</c:v>
                </c:pt>
              </c:strCache>
            </c:strRef>
          </c:tx>
          <c:spPr>
            <a:solidFill>
              <a:schemeClr val="accent1"/>
            </a:solidFill>
            <a:ln>
              <a:noFill/>
            </a:ln>
            <a:effectLst/>
          </c:spPr>
          <c:invertIfNegative val="0"/>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1-981F-4481-87F6-DEF5A171EE5D}"/>
              </c:ext>
            </c:extLst>
          </c:dPt>
          <c:dPt>
            <c:idx val="4"/>
            <c:invertIfNegative val="0"/>
            <c:bubble3D val="0"/>
            <c:spPr>
              <a:solidFill>
                <a:srgbClr val="7030A0"/>
              </a:solidFill>
              <a:ln>
                <a:noFill/>
              </a:ln>
              <a:effectLst/>
            </c:spPr>
            <c:extLst>
              <c:ext xmlns:c16="http://schemas.microsoft.com/office/drawing/2014/chart" uri="{C3380CC4-5D6E-409C-BE32-E72D297353CC}">
                <c16:uniqueId val="{00000003-981F-4481-87F6-DEF5A171EE5D}"/>
              </c:ext>
            </c:extLst>
          </c:dPt>
          <c:dPt>
            <c:idx val="5"/>
            <c:invertIfNegative val="0"/>
            <c:bubble3D val="0"/>
            <c:spPr>
              <a:solidFill>
                <a:srgbClr val="00B050"/>
              </a:solidFill>
              <a:ln>
                <a:noFill/>
              </a:ln>
              <a:effectLst/>
            </c:spPr>
            <c:extLst>
              <c:ext xmlns:c16="http://schemas.microsoft.com/office/drawing/2014/chart" uri="{C3380CC4-5D6E-409C-BE32-E72D297353CC}">
                <c16:uniqueId val="{00000005-981F-4481-87F6-DEF5A171EE5D}"/>
              </c:ext>
            </c:extLst>
          </c:dPt>
          <c:dPt>
            <c:idx val="6"/>
            <c:invertIfNegative val="0"/>
            <c:bubble3D val="0"/>
            <c:spPr>
              <a:solidFill>
                <a:schemeClr val="accent1">
                  <a:lumMod val="75000"/>
                </a:schemeClr>
              </a:solidFill>
              <a:ln>
                <a:noFill/>
              </a:ln>
              <a:effectLst/>
            </c:spPr>
            <c:extLst>
              <c:ext xmlns:c16="http://schemas.microsoft.com/office/drawing/2014/chart" uri="{C3380CC4-5D6E-409C-BE32-E72D297353CC}">
                <c16:uniqueId val="{00000007-981F-4481-87F6-DEF5A171EE5D}"/>
              </c:ext>
            </c:extLst>
          </c:dPt>
          <c:dPt>
            <c:idx val="7"/>
            <c:invertIfNegative val="0"/>
            <c:bubble3D val="0"/>
            <c:spPr>
              <a:solidFill>
                <a:srgbClr val="FFFF00"/>
              </a:solidFill>
              <a:ln>
                <a:noFill/>
              </a:ln>
              <a:effectLst/>
            </c:spPr>
            <c:extLst>
              <c:ext xmlns:c16="http://schemas.microsoft.com/office/drawing/2014/chart" uri="{C3380CC4-5D6E-409C-BE32-E72D297353CC}">
                <c16:uniqueId val="{00000009-981F-4481-87F6-DEF5A171EE5D}"/>
              </c:ext>
            </c:extLst>
          </c:dPt>
          <c:dPt>
            <c:idx val="8"/>
            <c:invertIfNegative val="0"/>
            <c:bubble3D val="0"/>
            <c:spPr>
              <a:solidFill>
                <a:srgbClr val="FFC000"/>
              </a:solidFill>
              <a:ln>
                <a:noFill/>
              </a:ln>
              <a:effectLst/>
            </c:spPr>
            <c:extLst>
              <c:ext xmlns:c16="http://schemas.microsoft.com/office/drawing/2014/chart" uri="{C3380CC4-5D6E-409C-BE32-E72D297353CC}">
                <c16:uniqueId val="{0000000B-981F-4481-87F6-DEF5A171EE5D}"/>
              </c:ext>
            </c:extLst>
          </c:dPt>
          <c:dPt>
            <c:idx val="9"/>
            <c:invertIfNegative val="0"/>
            <c:bubble3D val="0"/>
            <c:spPr>
              <a:solidFill>
                <a:schemeClr val="accent2"/>
              </a:solidFill>
              <a:ln>
                <a:noFill/>
              </a:ln>
              <a:effectLst/>
            </c:spPr>
            <c:extLst>
              <c:ext xmlns:c16="http://schemas.microsoft.com/office/drawing/2014/chart" uri="{C3380CC4-5D6E-409C-BE32-E72D297353CC}">
                <c16:uniqueId val="{0000000D-981F-4481-87F6-DEF5A171EE5D}"/>
              </c:ext>
            </c:extLst>
          </c:dPt>
          <c:cat>
            <c:strRef>
              <c:f>PivotTable!$A$23:$A$33</c:f>
              <c:strCache>
                <c:ptCount val="10"/>
                <c:pt idx="0">
                  <c:v>1 Gal Muratic Acid</c:v>
                </c:pt>
                <c:pt idx="1">
                  <c:v>5 Gal Chlorine</c:v>
                </c:pt>
                <c:pt idx="2">
                  <c:v>8 ft Hose</c:v>
                </c:pt>
                <c:pt idx="3">
                  <c:v>Algea Killer 8 oz</c:v>
                </c:pt>
                <c:pt idx="4">
                  <c:v>AutoVac</c:v>
                </c:pt>
                <c:pt idx="5">
                  <c:v>Chlorine Test Kit</c:v>
                </c:pt>
                <c:pt idx="6">
                  <c:v>Net</c:v>
                </c:pt>
                <c:pt idx="7">
                  <c:v>Pool Cover</c:v>
                </c:pt>
                <c:pt idx="8">
                  <c:v>Skimmer</c:v>
                </c:pt>
                <c:pt idx="9">
                  <c:v>Water Pump</c:v>
                </c:pt>
              </c:strCache>
            </c:strRef>
          </c:cat>
          <c:val>
            <c:numRef>
              <c:f>PivotTable!$B$23:$B$33</c:f>
              <c:numCache>
                <c:formatCode>_("$"* #,##0_);_("$"* \(#,##0\);_("$"* "-"??_);_(@_)</c:formatCode>
                <c:ptCount val="10"/>
                <c:pt idx="0">
                  <c:v>3.3</c:v>
                </c:pt>
                <c:pt idx="1">
                  <c:v>63</c:v>
                </c:pt>
                <c:pt idx="2">
                  <c:v>5.9999999999999973</c:v>
                </c:pt>
                <c:pt idx="3">
                  <c:v>7.5</c:v>
                </c:pt>
                <c:pt idx="4">
                  <c:v>204.80000000000004</c:v>
                </c:pt>
                <c:pt idx="5">
                  <c:v>10</c:v>
                </c:pt>
                <c:pt idx="6">
                  <c:v>11.760000000000003</c:v>
                </c:pt>
                <c:pt idx="7">
                  <c:v>168.42000000000004</c:v>
                </c:pt>
                <c:pt idx="8">
                  <c:v>126.00000000000004</c:v>
                </c:pt>
                <c:pt idx="9">
                  <c:v>632.00000000000023</c:v>
                </c:pt>
              </c:numCache>
            </c:numRef>
          </c:val>
          <c:extLst>
            <c:ext xmlns:c16="http://schemas.microsoft.com/office/drawing/2014/chart" uri="{C3380CC4-5D6E-409C-BE32-E72D297353CC}">
              <c16:uniqueId val="{0000000E-981F-4481-87F6-DEF5A171EE5D}"/>
            </c:ext>
          </c:extLst>
        </c:ser>
        <c:dLbls>
          <c:showLegendKey val="0"/>
          <c:showVal val="0"/>
          <c:showCatName val="0"/>
          <c:showSerName val="0"/>
          <c:showPercent val="0"/>
          <c:showBubbleSize val="0"/>
        </c:dLbls>
        <c:gapWidth val="150"/>
        <c:overlap val="100"/>
        <c:axId val="144669839"/>
        <c:axId val="144667343"/>
      </c:barChart>
      <c:catAx>
        <c:axId val="144669839"/>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4667343"/>
        <c:crosses val="autoZero"/>
        <c:auto val="1"/>
        <c:lblAlgn val="ctr"/>
        <c:lblOffset val="100"/>
        <c:noMultiLvlLbl val="0"/>
      </c:catAx>
      <c:valAx>
        <c:axId val="144667343"/>
        <c:scaling>
          <c:orientation val="minMax"/>
        </c:scaling>
        <c:delete val="0"/>
        <c:axPos val="l"/>
        <c:majorGridlines>
          <c:spPr>
            <a:ln w="9525" cap="flat" cmpd="sng" algn="ctr">
              <a:solidFill>
                <a:srgbClr val="FFC000">
                  <a:alpha val="20000"/>
                </a:srgbClr>
              </a:solidFill>
              <a:round/>
            </a:ln>
            <a:effectLst/>
          </c:spPr>
        </c:majorGridlines>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4669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[Profit.Tracker.xlsx]PivotTable!PivotTable6</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layout>
            <c:manualLayout>
              <c:x val="0.14722222222222214"/>
              <c:y val="-0.17592592592592593"/>
            </c:manualLayout>
          </c:layout>
          <c:showLegendKey val="0"/>
          <c:showVal val="1"/>
          <c:showCatName val="1"/>
          <c:showSerName val="0"/>
          <c:showPercent val="1"/>
          <c:showBubbleSize val="0"/>
          <c:extLst>
            <c:ext xmlns:c15="http://schemas.microsoft.com/office/drawing/2012/chart" uri="{CE6537A1-D6FC-4f65-9D91-7224C49458BB}">
              <c15:layout>
                <c:manualLayout>
                  <c:w val="0.15181955380577428"/>
                  <c:h val="0.13881962671332748"/>
                </c:manualLayout>
              </c15:layout>
            </c:ext>
          </c:extLst>
        </c:dLbl>
      </c:pivotFmt>
      <c:pivotFmt>
        <c:idx val="2"/>
        <c:dLbl>
          <c:idx val="0"/>
          <c:layout>
            <c:manualLayout>
              <c:x val="-0.22499999999999998"/>
              <c:y val="4.1666620529971492E-2"/>
            </c:manualLayout>
          </c:layout>
          <c:showLegendKey val="0"/>
          <c:showVal val="1"/>
          <c:showCatName val="1"/>
          <c:showSerName val="0"/>
          <c:showPercent val="1"/>
          <c:showBubbleSize val="0"/>
          <c:extLst>
            <c:ext xmlns:c15="http://schemas.microsoft.com/office/drawing/2012/chart" uri="{CE6537A1-D6FC-4f65-9D91-7224C49458BB}">
              <c15:layout>
                <c:manualLayout>
                  <c:w val="0.15595822397200351"/>
                  <c:h val="0.12030101592141863"/>
                </c:manualLayout>
              </c15:layout>
            </c:ext>
          </c:extLst>
        </c:dLbl>
      </c:pivotFmt>
      <c:pivotFmt>
        <c:idx val="3"/>
        <c:dLbl>
          <c:idx val="0"/>
          <c:layout>
            <c:manualLayout>
              <c:x val="0.29444455380577417"/>
              <c:y val="2.5551857645163423E-2"/>
            </c:manualLayout>
          </c:layout>
          <c:tx>
            <c:rich>
              <a:bodyPr/>
              <a:lstStyle/>
              <a:p>
                <a:fld id="{C1D5298C-6409-4726-9DAC-3A2E1AD01B5C}" type="CATEGORYNAME">
                  <a:rPr lang="en-US" b="1"/>
                  <a:pPr/>
                  <a:t>[CATEGORY NAME]</a:t>
                </a:fld>
                <a:r>
                  <a:rPr lang="en-US" b="1"/>
                  <a:t>, </a:t>
                </a:r>
                <a:fld id="{BD782888-FDFF-4221-B5A3-6488F44283F3}" type="VALUE">
                  <a:rPr lang="en-US" b="1"/>
                  <a:pPr/>
                  <a:t>[VALUE]</a:t>
                </a:fld>
                <a:r>
                  <a:rPr lang="en-US" b="1"/>
                  <a:t>, </a:t>
                </a:r>
                <a:fld id="{DAD592B3-80B5-4156-8CB3-91997CBF1514}" type="PERCENTAGE">
                  <a:rPr lang="en-US" b="1"/>
                  <a:pPr/>
                  <a:t>[PERCENTAGE]</a:t>
                </a:fld>
                <a:endParaRPr lang="en-US" b="1"/>
              </a:p>
            </c:rich>
          </c:tx>
          <c:showLegendKey val="0"/>
          <c:showVal val="1"/>
          <c:showCatName val="1"/>
          <c:showSerName val="0"/>
          <c:showPercent val="1"/>
          <c:showBubbleSize val="0"/>
          <c:extLst>
            <c:ext xmlns:c15="http://schemas.microsoft.com/office/drawing/2012/chart" uri="{CE6537A1-D6FC-4f65-9D91-7224C49458BB}">
              <c15:layout>
                <c:manualLayout>
                  <c:w val="0.3312222222222222"/>
                  <c:h val="0.13930326783422758"/>
                </c:manualLayout>
              </c15:layout>
              <c15:dlblFieldTable/>
              <c15:showDataLabelsRange val="0"/>
            </c:ext>
          </c:extLst>
        </c:dLbl>
      </c:pivotFmt>
      <c:pivotFmt>
        <c:idx val="4"/>
        <c:dLbl>
          <c:idx val="0"/>
          <c:layout>
            <c:manualLayout>
              <c:x val="-0.12777777777777785"/>
              <c:y val="-8.1018518518518517E-2"/>
            </c:manualLayout>
          </c:layout>
          <c:showLegendKey val="0"/>
          <c:showVal val="1"/>
          <c:showCatName val="1"/>
          <c:showSerName val="0"/>
          <c:showPercent val="1"/>
          <c:showBubbleSize val="0"/>
          <c:extLst>
            <c:ext xmlns:c15="http://schemas.microsoft.com/office/drawing/2012/chart" uri="{CE6537A1-D6FC-4f65-9D91-7224C49458BB}">
              <c15:layout>
                <c:manualLayout>
                  <c:w val="0.13340266841644791"/>
                  <c:h val="0.12493073782443861"/>
                </c:manualLayout>
              </c15:layout>
            </c:ext>
          </c:extLst>
        </c:dLbl>
      </c:pivotFmt>
      <c:pivotFmt>
        <c:idx val="5"/>
        <c:dLbl>
          <c:idx val="0"/>
          <c:layout>
            <c:manualLayout>
              <c:x val="-0.19861100174978127"/>
              <c:y val="6.116928268017123E-2"/>
            </c:manualLayout>
          </c:layout>
          <c:showLegendKey val="0"/>
          <c:showVal val="1"/>
          <c:showCatName val="1"/>
          <c:showSerName val="0"/>
          <c:showPercent val="1"/>
          <c:showBubbleSize val="0"/>
          <c:extLst>
            <c:ext xmlns:c15="http://schemas.microsoft.com/office/drawing/2012/chart" uri="{CE6537A1-D6FC-4f65-9D91-7224C49458BB}">
              <c15:layout>
                <c:manualLayout>
                  <c:w val="0.25813888888888886"/>
                  <c:h val="0.18760134149897931"/>
                </c:manualLayout>
              </c15:layout>
            </c:ext>
          </c:extLst>
        </c:dLbl>
      </c:pivotFmt>
      <c:pivotFmt>
        <c:idx val="6"/>
        <c:dLbl>
          <c:idx val="0"/>
          <c:layout>
            <c:manualLayout>
              <c:x val="9.7222222222222293E-3"/>
              <c:y val="0.13306434873414416"/>
            </c:manualLayout>
          </c:layout>
          <c:showLegendKey val="0"/>
          <c:showVal val="1"/>
          <c:showCatName val="1"/>
          <c:showSerName val="0"/>
          <c:showPercent val="1"/>
          <c:showBubbleSize val="0"/>
          <c:extLst>
            <c:ext xmlns:c15="http://schemas.microsoft.com/office/drawing/2012/chart" uri="{CE6537A1-D6FC-4f65-9D91-7224C49458BB}">
              <c15:layout>
                <c:manualLayout>
                  <c:w val="0.2029582239720035"/>
                  <c:h val="6.3799440753037298E-2"/>
                </c:manualLayout>
              </c15:layout>
            </c:ext>
          </c:extLst>
        </c:dLbl>
      </c:pivotFmt>
      <c:pivotFmt>
        <c:idx val="7"/>
        <c:dLbl>
          <c:idx val="0"/>
          <c:showLegendKey val="0"/>
          <c:showVal val="1"/>
          <c:showCatName val="1"/>
          <c:showSerName val="0"/>
          <c:showPercent val="1"/>
          <c:showBubbleSize val="0"/>
          <c:extLst>
            <c:ext xmlns:c15="http://schemas.microsoft.com/office/drawing/2012/chart" uri="{CE6537A1-D6FC-4f65-9D91-7224C49458BB}"/>
          </c:extLst>
        </c:dLbl>
      </c:pivotFmt>
      <c:pivotFmt>
        <c:idx val="8"/>
        <c:dLbl>
          <c:idx val="0"/>
          <c:layout>
            <c:manualLayout>
              <c:x val="0.14722222222222214"/>
              <c:y val="-0.17592592592592593"/>
            </c:manualLayout>
          </c:layout>
          <c:showLegendKey val="0"/>
          <c:showVal val="1"/>
          <c:showCatName val="1"/>
          <c:showSerName val="0"/>
          <c:showPercent val="1"/>
          <c:showBubbleSize val="0"/>
          <c:extLst>
            <c:ext xmlns:c15="http://schemas.microsoft.com/office/drawing/2012/chart" uri="{CE6537A1-D6FC-4f65-9D91-7224C49458BB}">
              <c15:layout>
                <c:manualLayout>
                  <c:w val="0.15181955380577428"/>
                  <c:h val="0.13881962671332748"/>
                </c:manualLayout>
              </c15:layout>
            </c:ext>
          </c:extLst>
        </c:dLbl>
      </c:pivotFmt>
      <c:pivotFmt>
        <c:idx val="9"/>
        <c:dLbl>
          <c:idx val="0"/>
          <c:layout>
            <c:manualLayout>
              <c:x val="0.29444455380577417"/>
              <c:y val="2.5551857645163423E-2"/>
            </c:manualLayout>
          </c:layout>
          <c:tx>
            <c:rich>
              <a:bodyPr/>
              <a:lstStyle/>
              <a:p>
                <a:fld id="{C1D5298C-6409-4726-9DAC-3A2E1AD01B5C}" type="CATEGORYNAME">
                  <a:rPr lang="en-US" b="1"/>
                  <a:pPr/>
                  <a:t>[CATEGORY NAME]</a:t>
                </a:fld>
                <a:r>
                  <a:rPr lang="en-US" b="1"/>
                  <a:t>, </a:t>
                </a:r>
                <a:fld id="{BD782888-FDFF-4221-B5A3-6488F44283F3}" type="VALUE">
                  <a:rPr lang="en-US" b="1"/>
                  <a:pPr/>
                  <a:t>[VALUE]</a:t>
                </a:fld>
                <a:r>
                  <a:rPr lang="en-US" b="1"/>
                  <a:t>, </a:t>
                </a:r>
                <a:fld id="{DAD592B3-80B5-4156-8CB3-91997CBF1514}" type="PERCENTAGE">
                  <a:rPr lang="en-US" b="1"/>
                  <a:pPr/>
                  <a:t>[PERCENTAGE]</a:t>
                </a:fld>
                <a:endParaRPr lang="en-US" b="1"/>
              </a:p>
            </c:rich>
          </c:tx>
          <c:showLegendKey val="0"/>
          <c:showVal val="1"/>
          <c:showCatName val="1"/>
          <c:showSerName val="0"/>
          <c:showPercent val="1"/>
          <c:showBubbleSize val="0"/>
          <c:extLst>
            <c:ext xmlns:c15="http://schemas.microsoft.com/office/drawing/2012/chart" uri="{CE6537A1-D6FC-4f65-9D91-7224C49458BB}">
              <c15:layout>
                <c:manualLayout>
                  <c:w val="0.3312222222222222"/>
                  <c:h val="0.13930326783422758"/>
                </c:manualLayout>
              </c15:layout>
              <c15:dlblFieldTable/>
              <c15:showDataLabelsRange val="0"/>
            </c:ext>
          </c:extLst>
        </c:dLbl>
      </c:pivotFmt>
      <c:pivotFmt>
        <c:idx val="10"/>
        <c:dLbl>
          <c:idx val="0"/>
          <c:layout>
            <c:manualLayout>
              <c:x val="9.7222222222222293E-3"/>
              <c:y val="0.13306434873414416"/>
            </c:manualLayout>
          </c:layout>
          <c:showLegendKey val="0"/>
          <c:showVal val="1"/>
          <c:showCatName val="1"/>
          <c:showSerName val="0"/>
          <c:showPercent val="1"/>
          <c:showBubbleSize val="0"/>
          <c:extLst>
            <c:ext xmlns:c15="http://schemas.microsoft.com/office/drawing/2012/chart" uri="{CE6537A1-D6FC-4f65-9D91-7224C49458BB}">
              <c15:layout>
                <c:manualLayout>
                  <c:w val="0.2029582239720035"/>
                  <c:h val="6.3799440753037298E-2"/>
                </c:manualLayout>
              </c15:layout>
            </c:ext>
          </c:extLst>
        </c:dLbl>
      </c:pivotFmt>
      <c:pivotFmt>
        <c:idx val="11"/>
        <c:dLbl>
          <c:idx val="0"/>
          <c:layout>
            <c:manualLayout>
              <c:x val="-0.19861100174978127"/>
              <c:y val="6.116928268017123E-2"/>
            </c:manualLayout>
          </c:layout>
          <c:showLegendKey val="0"/>
          <c:showVal val="1"/>
          <c:showCatName val="1"/>
          <c:showSerName val="0"/>
          <c:showPercent val="1"/>
          <c:showBubbleSize val="0"/>
          <c:extLst>
            <c:ext xmlns:c15="http://schemas.microsoft.com/office/drawing/2012/chart" uri="{CE6537A1-D6FC-4f65-9D91-7224C49458BB}">
              <c15:layout>
                <c:manualLayout>
                  <c:w val="0.25813888888888886"/>
                  <c:h val="0.18760134149897931"/>
                </c:manualLayout>
              </c15:layout>
            </c:ext>
          </c:extLst>
        </c:dLbl>
      </c:pivotFmt>
      <c:pivotFmt>
        <c:idx val="12"/>
        <c:dLbl>
          <c:idx val="0"/>
          <c:layout>
            <c:manualLayout>
              <c:x val="-0.22499999999999998"/>
              <c:y val="4.1666620529971492E-2"/>
            </c:manualLayout>
          </c:layout>
          <c:showLegendKey val="0"/>
          <c:showVal val="1"/>
          <c:showCatName val="1"/>
          <c:showSerName val="0"/>
          <c:showPercent val="1"/>
          <c:showBubbleSize val="0"/>
          <c:extLst>
            <c:ext xmlns:c15="http://schemas.microsoft.com/office/drawing/2012/chart" uri="{CE6537A1-D6FC-4f65-9D91-7224C49458BB}">
              <c15:layout>
                <c:manualLayout>
                  <c:w val="0.15595822397200351"/>
                  <c:h val="0.12030101592141863"/>
                </c:manualLayout>
              </c15:layout>
            </c:ext>
          </c:extLst>
        </c:dLbl>
      </c:pivotFmt>
      <c:pivotFmt>
        <c:idx val="13"/>
        <c:dLbl>
          <c:idx val="0"/>
          <c:layout>
            <c:manualLayout>
              <c:x val="-0.12777777777777785"/>
              <c:y val="-8.1018518518518517E-2"/>
            </c:manualLayout>
          </c:layout>
          <c:showLegendKey val="0"/>
          <c:showVal val="1"/>
          <c:showCatName val="1"/>
          <c:showSerName val="0"/>
          <c:showPercent val="1"/>
          <c:showBubbleSize val="0"/>
          <c:extLst>
            <c:ext xmlns:c15="http://schemas.microsoft.com/office/drawing/2012/chart" uri="{CE6537A1-D6FC-4f65-9D91-7224C49458BB}">
              <c15:layout>
                <c:manualLayout>
                  <c:w val="0.13340266841644791"/>
                  <c:h val="0.12493073782443861"/>
                </c:manualLayout>
              </c15:layout>
            </c:ext>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5"/>
        <c:spPr>
          <a:solidFill>
            <a:srgbClr val="FFFF00"/>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4.3569615257258873E-2"/>
              <c:y val="-0.104879907447382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1.7289926717261078E-2"/>
              <c:y val="1.4896915373659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42982639642719955"/>
          <c:y val="0.20650035187499102"/>
          <c:w val="0.38592932978350314"/>
          <c:h val="0.66379950911360008"/>
        </c:manualLayout>
      </c:layout>
      <c:pieChart>
        <c:varyColors val="1"/>
        <c:ser>
          <c:idx val="0"/>
          <c:order val="0"/>
          <c:tx>
            <c:strRef>
              <c:f>PivotTable!$B$36</c:f>
              <c:strCache>
                <c:ptCount val="1"/>
                <c:pt idx="0">
                  <c:v>Total</c:v>
                </c:pt>
              </c:strCache>
            </c:strRef>
          </c:tx>
          <c:spPr>
            <a:ln>
              <a:noFill/>
            </a:ln>
          </c:spPr>
          <c:dPt>
            <c:idx val="0"/>
            <c:bubble3D val="0"/>
            <c:spPr>
              <a:solidFill>
                <a:srgbClr val="FFFF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514-4298-9FD6-3486187D419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514-4298-9FD6-3486187D419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514-4298-9FD6-3486187D4194}"/>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A514-4298-9FD6-3486187D4194}"/>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A514-4298-9FD6-3486187D4194}"/>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A514-4298-9FD6-3486187D4194}"/>
              </c:ext>
            </c:extLst>
          </c:dPt>
          <c:dLbls>
            <c:dLbl>
              <c:idx val="0"/>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514-4298-9FD6-3486187D4194}"/>
                </c:ext>
              </c:extLst>
            </c:dLbl>
            <c:dLbl>
              <c:idx val="3"/>
              <c:layout>
                <c:manualLayout>
                  <c:x val="-4.3569615257258873E-2"/>
                  <c:y val="-0.10487990744738211"/>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514-4298-9FD6-3486187D4194}"/>
                </c:ext>
              </c:extLst>
            </c:dLbl>
            <c:dLbl>
              <c:idx val="4"/>
              <c:layout>
                <c:manualLayout>
                  <c:x val="-1.7289926717261078E-2"/>
                  <c:y val="1.48969153736596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514-4298-9FD6-3486187D419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PivotTable!$A$37:$A$43</c:f>
              <c:strCache>
                <c:ptCount val="6"/>
                <c:pt idx="0">
                  <c:v>AZ</c:v>
                </c:pt>
                <c:pt idx="1">
                  <c:v>CA</c:v>
                </c:pt>
                <c:pt idx="2">
                  <c:v>CO</c:v>
                </c:pt>
                <c:pt idx="3">
                  <c:v>NM</c:v>
                </c:pt>
                <c:pt idx="4">
                  <c:v>NV</c:v>
                </c:pt>
                <c:pt idx="5">
                  <c:v>UT</c:v>
                </c:pt>
              </c:strCache>
            </c:strRef>
          </c:cat>
          <c:val>
            <c:numRef>
              <c:f>PivotTable!$B$37:$B$43</c:f>
              <c:numCache>
                <c:formatCode>_("$"* #,##0_);_("$"* \(#,##0\);_("$"* "-"??_);_(@_)</c:formatCode>
                <c:ptCount val="6"/>
                <c:pt idx="0">
                  <c:v>1979.0999999999995</c:v>
                </c:pt>
                <c:pt idx="1">
                  <c:v>1485.0999999999997</c:v>
                </c:pt>
                <c:pt idx="2">
                  <c:v>23.799999999999997</c:v>
                </c:pt>
                <c:pt idx="3">
                  <c:v>681.8</c:v>
                </c:pt>
                <c:pt idx="4">
                  <c:v>1710.1</c:v>
                </c:pt>
                <c:pt idx="5">
                  <c:v>476.8</c:v>
                </c:pt>
              </c:numCache>
            </c:numRef>
          </c:val>
          <c:extLst>
            <c:ext xmlns:c16="http://schemas.microsoft.com/office/drawing/2014/chart" uri="{C3380CC4-5D6E-409C-BE32-E72D297353CC}">
              <c16:uniqueId val="{0000000C-A514-4298-9FD6-3486187D419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[Profit.Tracker.xlsx]PivotTable!PivotTable9</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rgbClr val="FFFF00"/>
          </a:solidFill>
          <a:ln>
            <a:noFill/>
          </a:ln>
          <a:effectLst/>
        </c:spPr>
      </c:pivotFmt>
      <c:pivotFmt>
        <c:idx val="3"/>
        <c:spPr>
          <a:solidFill>
            <a:schemeClr val="accent6"/>
          </a:solidFill>
          <a:ln>
            <a:noFill/>
          </a:ln>
          <a:effectLst/>
        </c:spPr>
      </c:pivotFmt>
      <c:pivotFmt>
        <c:idx val="4"/>
        <c:spPr>
          <a:solidFill>
            <a:schemeClr val="accent6">
              <a:lumMod val="40000"/>
              <a:lumOff val="60000"/>
            </a:schemeClr>
          </a:solidFill>
          <a:ln>
            <a:noFill/>
          </a:ln>
          <a:effectLst/>
        </c:spPr>
      </c:pivotFmt>
      <c:pivotFmt>
        <c:idx val="5"/>
        <c:spPr>
          <a:solidFill>
            <a:schemeClr val="accent6">
              <a:lumMod val="20000"/>
              <a:lumOff val="8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pivotFmt>
      <c:pivotFmt>
        <c:idx val="8"/>
        <c:spPr>
          <a:solidFill>
            <a:srgbClr val="FFFF00"/>
          </a:solidFill>
          <a:ln>
            <a:noFill/>
          </a:ln>
          <a:effectLst/>
        </c:spPr>
      </c:pivotFmt>
      <c:pivotFmt>
        <c:idx val="9"/>
        <c:spPr>
          <a:solidFill>
            <a:schemeClr val="accent6"/>
          </a:solidFill>
          <a:ln>
            <a:noFill/>
          </a:ln>
          <a:effectLst/>
        </c:spPr>
      </c:pivotFmt>
      <c:pivotFmt>
        <c:idx val="10"/>
        <c:spPr>
          <a:solidFill>
            <a:schemeClr val="accent6">
              <a:lumMod val="40000"/>
              <a:lumOff val="60000"/>
            </a:schemeClr>
          </a:solidFill>
          <a:ln>
            <a:noFill/>
          </a:ln>
          <a:effectLst/>
        </c:spPr>
      </c:pivotFmt>
      <c:pivotFmt>
        <c:idx val="11"/>
        <c:spPr>
          <a:solidFill>
            <a:schemeClr val="accent6">
              <a:lumMod val="20000"/>
              <a:lumOff val="8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pivotFmt>
      <c:pivotFmt>
        <c:idx val="14"/>
        <c:spPr>
          <a:solidFill>
            <a:srgbClr val="FFFF00"/>
          </a:solidFill>
          <a:ln>
            <a:noFill/>
          </a:ln>
          <a:effectLst/>
        </c:spPr>
      </c:pivotFmt>
      <c:pivotFmt>
        <c:idx val="15"/>
        <c:spPr>
          <a:solidFill>
            <a:schemeClr val="accent6"/>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20000"/>
              <a:lumOff val="80000"/>
            </a:schemeClr>
          </a:solidFill>
          <a:ln>
            <a:noFill/>
          </a:ln>
          <a:effectLst/>
        </c:spPr>
      </c:pivotFmt>
    </c:pivotFmts>
    <c:plotArea>
      <c:layout>
        <c:manualLayout>
          <c:layoutTarget val="inner"/>
          <c:xMode val="edge"/>
          <c:yMode val="edge"/>
          <c:x val="0.32496168093643535"/>
          <c:y val="8.9700798164325237E-4"/>
          <c:w val="0.58425572279962712"/>
          <c:h val="0.94364159803723713"/>
        </c:manualLayout>
      </c:layout>
      <c:barChart>
        <c:barDir val="bar"/>
        <c:grouping val="clustered"/>
        <c:varyColors val="0"/>
        <c:ser>
          <c:idx val="0"/>
          <c:order val="0"/>
          <c:tx>
            <c:strRef>
              <c:f>PivotTable!$B$62</c:f>
              <c:strCache>
                <c:ptCount val="1"/>
                <c:pt idx="0">
                  <c:v>Total</c:v>
                </c:pt>
              </c:strCache>
            </c:strRef>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EB18-47F1-8FFE-A563BEC0F20D}"/>
              </c:ext>
            </c:extLst>
          </c:dPt>
          <c:dPt>
            <c:idx val="1"/>
            <c:invertIfNegative val="0"/>
            <c:bubble3D val="0"/>
            <c:spPr>
              <a:solidFill>
                <a:srgbClr val="FFFF00"/>
              </a:solidFill>
              <a:ln>
                <a:noFill/>
              </a:ln>
              <a:effectLst/>
            </c:spPr>
            <c:extLst>
              <c:ext xmlns:c16="http://schemas.microsoft.com/office/drawing/2014/chart" uri="{C3380CC4-5D6E-409C-BE32-E72D297353CC}">
                <c16:uniqueId val="{00000003-EB18-47F1-8FFE-A563BEC0F20D}"/>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EB18-47F1-8FFE-A563BEC0F20D}"/>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7-EB18-47F1-8FFE-A563BEC0F20D}"/>
              </c:ext>
            </c:extLst>
          </c:dPt>
          <c:dPt>
            <c:idx val="4"/>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9-EB18-47F1-8FFE-A563BEC0F20D}"/>
              </c:ext>
            </c:extLst>
          </c:dPt>
          <c:cat>
            <c:strRef>
              <c:f>PivotTable!$A$63:$A$68</c:f>
              <c:strCache>
                <c:ptCount val="5"/>
                <c:pt idx="0">
                  <c:v>Water Pump</c:v>
                </c:pt>
                <c:pt idx="1">
                  <c:v>Skimmer</c:v>
                </c:pt>
                <c:pt idx="2">
                  <c:v>Pool Cover</c:v>
                </c:pt>
                <c:pt idx="3">
                  <c:v>AutoVac</c:v>
                </c:pt>
                <c:pt idx="4">
                  <c:v>5 Gal Chlorine</c:v>
                </c:pt>
              </c:strCache>
            </c:strRef>
          </c:cat>
          <c:val>
            <c:numRef>
              <c:f>PivotTable!$B$63:$B$68</c:f>
              <c:numCache>
                <c:formatCode>General</c:formatCode>
                <c:ptCount val="5"/>
                <c:pt idx="0">
                  <c:v>10040</c:v>
                </c:pt>
                <c:pt idx="1">
                  <c:v>1305</c:v>
                </c:pt>
                <c:pt idx="2">
                  <c:v>2066.4000000000005</c:v>
                </c:pt>
                <c:pt idx="3">
                  <c:v>1984</c:v>
                </c:pt>
                <c:pt idx="4">
                  <c:v>693</c:v>
                </c:pt>
              </c:numCache>
            </c:numRef>
          </c:val>
          <c:extLst>
            <c:ext xmlns:c16="http://schemas.microsoft.com/office/drawing/2014/chart" uri="{C3380CC4-5D6E-409C-BE32-E72D297353CC}">
              <c16:uniqueId val="{0000000A-EB18-47F1-8FFE-A563BEC0F20D}"/>
            </c:ext>
          </c:extLst>
        </c:ser>
        <c:dLbls>
          <c:showLegendKey val="0"/>
          <c:showVal val="0"/>
          <c:showCatName val="0"/>
          <c:showSerName val="0"/>
          <c:showPercent val="0"/>
          <c:showBubbleSize val="0"/>
        </c:dLbls>
        <c:gapWidth val="182"/>
        <c:axId val="275027407"/>
        <c:axId val="275024911"/>
      </c:barChart>
      <c:catAx>
        <c:axId val="275027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75024911"/>
        <c:crosses val="autoZero"/>
        <c:auto val="1"/>
        <c:lblAlgn val="ctr"/>
        <c:lblOffset val="100"/>
        <c:noMultiLvlLbl val="0"/>
      </c:catAx>
      <c:valAx>
        <c:axId val="275024911"/>
        <c:scaling>
          <c:orientation val="minMax"/>
        </c:scaling>
        <c:delete val="0"/>
        <c:axPos val="b"/>
        <c:majorGridlines>
          <c:spPr>
            <a:ln w="9525" cap="flat" cmpd="sng" algn="ctr">
              <a:solidFill>
                <a:schemeClr val="accent2">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75027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[Profit.Tracker.xlsx]PivotTable!PivotTable4</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rgbClr val="7030A0"/>
            </a:solidFill>
            <a:ln w="6350" cap="rnd">
              <a:solidFill>
                <a:srgbClr val="7030A0"/>
              </a:solidFill>
              <a:headEnd type="ova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PivotTable!$X$4</c:f>
              <c:strCache>
                <c:ptCount val="1"/>
                <c:pt idx="0">
                  <c:v>Total</c:v>
                </c:pt>
              </c:strCache>
            </c:strRef>
          </c:tx>
          <c:spPr>
            <a:ln w="28575" cap="rnd">
              <a:solidFill>
                <a:schemeClr val="accent2"/>
              </a:solidFill>
              <a:round/>
            </a:ln>
            <a:effectLst/>
          </c:spPr>
          <c:marker>
            <c:symbol val="circle"/>
            <c:size val="5"/>
            <c:spPr>
              <a:solidFill>
                <a:srgbClr val="7030A0"/>
              </a:solidFill>
              <a:ln w="6350" cap="rnd">
                <a:solidFill>
                  <a:srgbClr val="7030A0"/>
                </a:solidFill>
                <a:headEnd type="oval"/>
              </a:ln>
              <a:effectLst/>
            </c:spPr>
          </c:marker>
          <c:cat>
            <c:strRef>
              <c:f>PivotTable!$W$5:$W$17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PivotTable!$X$5:$X$17</c:f>
              <c:numCache>
                <c:formatCode>General</c:formatCode>
                <c:ptCount val="12"/>
                <c:pt idx="0">
                  <c:v>1409.4999999999998</c:v>
                </c:pt>
                <c:pt idx="1">
                  <c:v>841.40000000000009</c:v>
                </c:pt>
                <c:pt idx="2">
                  <c:v>1421.3999999999999</c:v>
                </c:pt>
                <c:pt idx="3">
                  <c:v>1089.7</c:v>
                </c:pt>
                <c:pt idx="4">
                  <c:v>214.4</c:v>
                </c:pt>
                <c:pt idx="5">
                  <c:v>409.90000000000003</c:v>
                </c:pt>
                <c:pt idx="6">
                  <c:v>186.10000000000002</c:v>
                </c:pt>
                <c:pt idx="7">
                  <c:v>2253</c:v>
                </c:pt>
                <c:pt idx="8">
                  <c:v>2508.2000000000003</c:v>
                </c:pt>
                <c:pt idx="9">
                  <c:v>1927.6</c:v>
                </c:pt>
                <c:pt idx="10">
                  <c:v>2473.8000000000002</c:v>
                </c:pt>
                <c:pt idx="11">
                  <c:v>2375.6</c:v>
                </c:pt>
              </c:numCache>
            </c:numRef>
          </c:val>
          <c:smooth val="0"/>
          <c:extLst>
            <c:ext xmlns:c16="http://schemas.microsoft.com/office/drawing/2014/chart" uri="{C3380CC4-5D6E-409C-BE32-E72D297353CC}">
              <c16:uniqueId val="{00000000-6B4E-4CD7-AB73-F96A5870FAA3}"/>
            </c:ext>
          </c:extLst>
        </c:ser>
        <c:dLbls>
          <c:showLegendKey val="0"/>
          <c:showVal val="0"/>
          <c:showCatName val="0"/>
          <c:showSerName val="0"/>
          <c:showPercent val="0"/>
          <c:showBubbleSize val="0"/>
        </c:dLbls>
        <c:marker val="1"/>
        <c:smooth val="0"/>
        <c:axId val="917115903"/>
        <c:axId val="917134207"/>
      </c:lineChart>
      <c:catAx>
        <c:axId val="91711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17134207"/>
        <c:crosses val="autoZero"/>
        <c:auto val="1"/>
        <c:lblAlgn val="ctr"/>
        <c:lblOffset val="100"/>
        <c:noMultiLvlLbl val="0"/>
      </c:catAx>
      <c:valAx>
        <c:axId val="917134207"/>
        <c:scaling>
          <c:orientation val="minMax"/>
        </c:scaling>
        <c:delete val="0"/>
        <c:axPos val="l"/>
        <c:majorGridlines>
          <c:spPr>
            <a:ln w="9525" cap="flat" cmpd="sng" algn="ctr">
              <a:solidFill>
                <a:schemeClr val="accent2">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17115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8</xdr:col>
      <xdr:colOff>514350</xdr:colOff>
      <xdr:row>0</xdr:row>
      <xdr:rowOff>47625</xdr:rowOff>
    </xdr:from>
    <xdr:to>
      <xdr:col>13</xdr:col>
      <xdr:colOff>333375</xdr:colOff>
      <xdr:row>16</xdr:row>
      <xdr:rowOff>133350</xdr:rowOff>
    </xdr:to>
    <xdr:graphicFrame macro="">
      <xdr:nvGraphicFramePr>
        <xdr:cNvPr id="4" name="Chart 3">
          <a:extLst>
            <a:ext uri="{FF2B5EF4-FFF2-40B4-BE49-F238E27FC236}">
              <a16:creationId xmlns:a16="http://schemas.microsoft.com/office/drawing/2014/main" id="{55585386-1403-63E4-FDC9-4991C16A01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61912</xdr:colOff>
      <xdr:row>20</xdr:row>
      <xdr:rowOff>61912</xdr:rowOff>
    </xdr:from>
    <xdr:to>
      <xdr:col>9</xdr:col>
      <xdr:colOff>376237</xdr:colOff>
      <xdr:row>34</xdr:row>
      <xdr:rowOff>138112</xdr:rowOff>
    </xdr:to>
    <xdr:graphicFrame macro="">
      <xdr:nvGraphicFramePr>
        <xdr:cNvPr id="5" name="Chart 4">
          <a:extLst>
            <a:ext uri="{FF2B5EF4-FFF2-40B4-BE49-F238E27FC236}">
              <a16:creationId xmlns:a16="http://schemas.microsoft.com/office/drawing/2014/main" id="{E5CA7266-0BF1-8155-91D9-45D8F206C3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561975</xdr:colOff>
      <xdr:row>31</xdr:row>
      <xdr:rowOff>104775</xdr:rowOff>
    </xdr:from>
    <xdr:to>
      <xdr:col>12</xdr:col>
      <xdr:colOff>28575</xdr:colOff>
      <xdr:row>45</xdr:row>
      <xdr:rowOff>171451</xdr:rowOff>
    </xdr:to>
    <xdr:graphicFrame macro="">
      <xdr:nvGraphicFramePr>
        <xdr:cNvPr id="8" name="Chart 7">
          <a:extLst>
            <a:ext uri="{FF2B5EF4-FFF2-40B4-BE49-F238E27FC236}">
              <a16:creationId xmlns:a16="http://schemas.microsoft.com/office/drawing/2014/main" id="{C92A7572-DD51-58B5-1EB4-18715A592B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61912</xdr:colOff>
      <xdr:row>54</xdr:row>
      <xdr:rowOff>161925</xdr:rowOff>
    </xdr:from>
    <xdr:to>
      <xdr:col>7</xdr:col>
      <xdr:colOff>9525</xdr:colOff>
      <xdr:row>76</xdr:row>
      <xdr:rowOff>138112</xdr:rowOff>
    </xdr:to>
    <xdr:graphicFrame macro="">
      <xdr:nvGraphicFramePr>
        <xdr:cNvPr id="9" name="Chart 8">
          <a:extLst>
            <a:ext uri="{FF2B5EF4-FFF2-40B4-BE49-F238E27FC236}">
              <a16:creationId xmlns:a16="http://schemas.microsoft.com/office/drawing/2014/main" id="{3A9A8F72-78CE-A4D7-FC24-561CC069F8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257175</xdr:colOff>
      <xdr:row>3</xdr:row>
      <xdr:rowOff>61912</xdr:rowOff>
    </xdr:from>
    <xdr:to>
      <xdr:col>21</xdr:col>
      <xdr:colOff>561975</xdr:colOff>
      <xdr:row>17</xdr:row>
      <xdr:rowOff>138112</xdr:rowOff>
    </xdr:to>
    <xdr:graphicFrame macro="">
      <xdr:nvGraphicFramePr>
        <xdr:cNvPr id="2" name="Chart 1">
          <a:extLst>
            <a:ext uri="{FF2B5EF4-FFF2-40B4-BE49-F238E27FC236}">
              <a16:creationId xmlns:a16="http://schemas.microsoft.com/office/drawing/2014/main" id="{BC96AF51-53F2-5B67-E2CB-96EA938673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264583</xdr:colOff>
      <xdr:row>0</xdr:row>
      <xdr:rowOff>137586</xdr:rowOff>
    </xdr:from>
    <xdr:to>
      <xdr:col>17</xdr:col>
      <xdr:colOff>507999</xdr:colOff>
      <xdr:row>2</xdr:row>
      <xdr:rowOff>158752</xdr:rowOff>
    </xdr:to>
    <xdr:sp macro="" textlink="">
      <xdr:nvSpPr>
        <xdr:cNvPr id="3" name="Rectangle: Rounded Corners 2">
          <a:extLst>
            <a:ext uri="{FF2B5EF4-FFF2-40B4-BE49-F238E27FC236}">
              <a16:creationId xmlns:a16="http://schemas.microsoft.com/office/drawing/2014/main" id="{AC5E6F11-4082-5CA8-993B-8392E6FF8A39}"/>
            </a:ext>
          </a:extLst>
        </xdr:cNvPr>
        <xdr:cNvSpPr/>
      </xdr:nvSpPr>
      <xdr:spPr>
        <a:xfrm>
          <a:off x="264583" y="137586"/>
          <a:ext cx="10678583" cy="402166"/>
        </a:xfrm>
        <a:prstGeom prst="roundRect">
          <a:avLst>
            <a:gd name="adj" fmla="val 877"/>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264583</xdr:colOff>
      <xdr:row>3</xdr:row>
      <xdr:rowOff>42337</xdr:rowOff>
    </xdr:from>
    <xdr:to>
      <xdr:col>2</xdr:col>
      <xdr:colOff>444502</xdr:colOff>
      <xdr:row>24</xdr:row>
      <xdr:rowOff>95253</xdr:rowOff>
    </xdr:to>
    <xdr:sp macro="" textlink="">
      <xdr:nvSpPr>
        <xdr:cNvPr id="4" name="Rectangle: Rounded Corners 3">
          <a:extLst>
            <a:ext uri="{FF2B5EF4-FFF2-40B4-BE49-F238E27FC236}">
              <a16:creationId xmlns:a16="http://schemas.microsoft.com/office/drawing/2014/main" id="{9C6F7393-BDB1-3D66-3E1A-EAC51AD63472}"/>
            </a:ext>
          </a:extLst>
        </xdr:cNvPr>
        <xdr:cNvSpPr/>
      </xdr:nvSpPr>
      <xdr:spPr>
        <a:xfrm>
          <a:off x="264583" y="613837"/>
          <a:ext cx="1407586" cy="4053416"/>
        </a:xfrm>
        <a:prstGeom prst="roundRect">
          <a:avLst>
            <a:gd name="adj" fmla="val 6777"/>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529167</xdr:colOff>
      <xdr:row>3</xdr:row>
      <xdr:rowOff>42336</xdr:rowOff>
    </xdr:from>
    <xdr:to>
      <xdr:col>5</xdr:col>
      <xdr:colOff>455084</xdr:colOff>
      <xdr:row>6</xdr:row>
      <xdr:rowOff>52919</xdr:rowOff>
    </xdr:to>
    <xdr:sp macro="" textlink="">
      <xdr:nvSpPr>
        <xdr:cNvPr id="5" name="Rectangle: Rounded Corners 4">
          <a:extLst>
            <a:ext uri="{FF2B5EF4-FFF2-40B4-BE49-F238E27FC236}">
              <a16:creationId xmlns:a16="http://schemas.microsoft.com/office/drawing/2014/main" id="{B959470D-BF80-CA75-C060-9E881BFD9A34}"/>
            </a:ext>
          </a:extLst>
        </xdr:cNvPr>
        <xdr:cNvSpPr/>
      </xdr:nvSpPr>
      <xdr:spPr>
        <a:xfrm>
          <a:off x="1143000" y="613836"/>
          <a:ext cx="1767417" cy="582083"/>
        </a:xfrm>
        <a:prstGeom prst="roundRect">
          <a:avLst>
            <a:gd name="adj" fmla="val 303"/>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TOTAL COST PRICE</a:t>
          </a:r>
          <a:endParaRPr lang="en-US" sz="1100" b="1"/>
        </a:p>
      </xdr:txBody>
    </xdr:sp>
    <xdr:clientData/>
  </xdr:twoCellAnchor>
  <xdr:twoCellAnchor>
    <xdr:from>
      <xdr:col>5</xdr:col>
      <xdr:colOff>539753</xdr:colOff>
      <xdr:row>3</xdr:row>
      <xdr:rowOff>42338</xdr:rowOff>
    </xdr:from>
    <xdr:to>
      <xdr:col>8</xdr:col>
      <xdr:colOff>465670</xdr:colOff>
      <xdr:row>6</xdr:row>
      <xdr:rowOff>52921</xdr:rowOff>
    </xdr:to>
    <xdr:sp macro="" textlink="">
      <xdr:nvSpPr>
        <xdr:cNvPr id="7" name="Rectangle: Rounded Corners 6">
          <a:extLst>
            <a:ext uri="{FF2B5EF4-FFF2-40B4-BE49-F238E27FC236}">
              <a16:creationId xmlns:a16="http://schemas.microsoft.com/office/drawing/2014/main" id="{7987B33A-30AA-44EA-B2FD-50085F31AA94}"/>
            </a:ext>
          </a:extLst>
        </xdr:cNvPr>
        <xdr:cNvSpPr/>
      </xdr:nvSpPr>
      <xdr:spPr>
        <a:xfrm>
          <a:off x="2995086" y="613838"/>
          <a:ext cx="1767417" cy="582083"/>
        </a:xfrm>
        <a:prstGeom prst="roundRect">
          <a:avLst>
            <a:gd name="adj" fmla="val 303"/>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550336</xdr:colOff>
      <xdr:row>3</xdr:row>
      <xdr:rowOff>42332</xdr:rowOff>
    </xdr:from>
    <xdr:to>
      <xdr:col>11</xdr:col>
      <xdr:colOff>476253</xdr:colOff>
      <xdr:row>6</xdr:row>
      <xdr:rowOff>52915</xdr:rowOff>
    </xdr:to>
    <xdr:sp macro="" textlink="">
      <xdr:nvSpPr>
        <xdr:cNvPr id="9" name="Rectangle: Rounded Corners 8">
          <a:extLst>
            <a:ext uri="{FF2B5EF4-FFF2-40B4-BE49-F238E27FC236}">
              <a16:creationId xmlns:a16="http://schemas.microsoft.com/office/drawing/2014/main" id="{D881E770-707A-40C5-B8C8-E51FDB51A552}"/>
            </a:ext>
          </a:extLst>
        </xdr:cNvPr>
        <xdr:cNvSpPr/>
      </xdr:nvSpPr>
      <xdr:spPr>
        <a:xfrm>
          <a:off x="4847169" y="613832"/>
          <a:ext cx="1767417" cy="582083"/>
        </a:xfrm>
        <a:prstGeom prst="roundRect">
          <a:avLst>
            <a:gd name="adj" fmla="val 303"/>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560919</xdr:colOff>
      <xdr:row>3</xdr:row>
      <xdr:rowOff>42338</xdr:rowOff>
    </xdr:from>
    <xdr:to>
      <xdr:col>14</xdr:col>
      <xdr:colOff>486836</xdr:colOff>
      <xdr:row>6</xdr:row>
      <xdr:rowOff>52921</xdr:rowOff>
    </xdr:to>
    <xdr:sp macro="" textlink="">
      <xdr:nvSpPr>
        <xdr:cNvPr id="11" name="Rectangle: Rounded Corners 10">
          <a:extLst>
            <a:ext uri="{FF2B5EF4-FFF2-40B4-BE49-F238E27FC236}">
              <a16:creationId xmlns:a16="http://schemas.microsoft.com/office/drawing/2014/main" id="{9396FAED-EB38-467E-9E81-CD5D1E562A66}"/>
            </a:ext>
          </a:extLst>
        </xdr:cNvPr>
        <xdr:cNvSpPr/>
      </xdr:nvSpPr>
      <xdr:spPr>
        <a:xfrm>
          <a:off x="6699252" y="613838"/>
          <a:ext cx="1767417" cy="582083"/>
        </a:xfrm>
        <a:prstGeom prst="roundRect">
          <a:avLst>
            <a:gd name="adj" fmla="val 303"/>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571506</xdr:colOff>
      <xdr:row>3</xdr:row>
      <xdr:rowOff>31753</xdr:rowOff>
    </xdr:from>
    <xdr:to>
      <xdr:col>17</xdr:col>
      <xdr:colOff>497423</xdr:colOff>
      <xdr:row>6</xdr:row>
      <xdr:rowOff>42336</xdr:rowOff>
    </xdr:to>
    <xdr:sp macro="" textlink="">
      <xdr:nvSpPr>
        <xdr:cNvPr id="13" name="Rectangle: Rounded Corners 12">
          <a:extLst>
            <a:ext uri="{FF2B5EF4-FFF2-40B4-BE49-F238E27FC236}">
              <a16:creationId xmlns:a16="http://schemas.microsoft.com/office/drawing/2014/main" id="{1A077EEB-652D-4490-8FF9-AB22F5BB5E44}"/>
            </a:ext>
          </a:extLst>
        </xdr:cNvPr>
        <xdr:cNvSpPr/>
      </xdr:nvSpPr>
      <xdr:spPr>
        <a:xfrm>
          <a:off x="8551339" y="603253"/>
          <a:ext cx="1767417" cy="582083"/>
        </a:xfrm>
        <a:prstGeom prst="roundRect">
          <a:avLst>
            <a:gd name="adj" fmla="val 303"/>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539761</xdr:colOff>
      <xdr:row>6</xdr:row>
      <xdr:rowOff>137586</xdr:rowOff>
    </xdr:from>
    <xdr:to>
      <xdr:col>8</xdr:col>
      <xdr:colOff>169335</xdr:colOff>
      <xdr:row>14</xdr:row>
      <xdr:rowOff>137586</xdr:rowOff>
    </xdr:to>
    <xdr:sp macro="" textlink="">
      <xdr:nvSpPr>
        <xdr:cNvPr id="17" name="Rectangle: Rounded Corners 16">
          <a:extLst>
            <a:ext uri="{FF2B5EF4-FFF2-40B4-BE49-F238E27FC236}">
              <a16:creationId xmlns:a16="http://schemas.microsoft.com/office/drawing/2014/main" id="{D11EFDE2-06F8-4BF9-A3D1-303FF16F874E}"/>
            </a:ext>
          </a:extLst>
        </xdr:cNvPr>
        <xdr:cNvSpPr/>
      </xdr:nvSpPr>
      <xdr:spPr>
        <a:xfrm>
          <a:off x="1153594" y="1280586"/>
          <a:ext cx="3312574" cy="1524000"/>
        </a:xfrm>
        <a:prstGeom prst="roundRect">
          <a:avLst>
            <a:gd name="adj" fmla="val 303"/>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254003</xdr:colOff>
      <xdr:row>6</xdr:row>
      <xdr:rowOff>148169</xdr:rowOff>
    </xdr:from>
    <xdr:to>
      <xdr:col>13</xdr:col>
      <xdr:colOff>497410</xdr:colOff>
      <xdr:row>14</xdr:row>
      <xdr:rowOff>148169</xdr:rowOff>
    </xdr:to>
    <xdr:sp macro="" textlink="">
      <xdr:nvSpPr>
        <xdr:cNvPr id="19" name="Rectangle: Rounded Corners 18">
          <a:extLst>
            <a:ext uri="{FF2B5EF4-FFF2-40B4-BE49-F238E27FC236}">
              <a16:creationId xmlns:a16="http://schemas.microsoft.com/office/drawing/2014/main" id="{085A1F8F-B86C-4051-B2EE-EAAA3EDC9CB0}"/>
            </a:ext>
          </a:extLst>
        </xdr:cNvPr>
        <xdr:cNvSpPr/>
      </xdr:nvSpPr>
      <xdr:spPr>
        <a:xfrm>
          <a:off x="4550836" y="1291169"/>
          <a:ext cx="3312574" cy="1524000"/>
        </a:xfrm>
        <a:prstGeom prst="roundRect">
          <a:avLst>
            <a:gd name="adj" fmla="val 303"/>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539753</xdr:colOff>
      <xdr:row>15</xdr:row>
      <xdr:rowOff>31752</xdr:rowOff>
    </xdr:from>
    <xdr:to>
      <xdr:col>8</xdr:col>
      <xdr:colOff>169327</xdr:colOff>
      <xdr:row>24</xdr:row>
      <xdr:rowOff>74083</xdr:rowOff>
    </xdr:to>
    <xdr:sp macro="" textlink="">
      <xdr:nvSpPr>
        <xdr:cNvPr id="21" name="Rectangle: Rounded Corners 20">
          <a:extLst>
            <a:ext uri="{FF2B5EF4-FFF2-40B4-BE49-F238E27FC236}">
              <a16:creationId xmlns:a16="http://schemas.microsoft.com/office/drawing/2014/main" id="{24B88724-6C17-4356-B813-E7E42AEB817E}"/>
            </a:ext>
          </a:extLst>
        </xdr:cNvPr>
        <xdr:cNvSpPr/>
      </xdr:nvSpPr>
      <xdr:spPr>
        <a:xfrm>
          <a:off x="1153586" y="2889252"/>
          <a:ext cx="3312574" cy="1756831"/>
        </a:xfrm>
        <a:prstGeom prst="roundRect">
          <a:avLst>
            <a:gd name="adj" fmla="val 303"/>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254006</xdr:colOff>
      <xdr:row>15</xdr:row>
      <xdr:rowOff>42335</xdr:rowOff>
    </xdr:from>
    <xdr:to>
      <xdr:col>13</xdr:col>
      <xdr:colOff>497413</xdr:colOff>
      <xdr:row>24</xdr:row>
      <xdr:rowOff>84666</xdr:rowOff>
    </xdr:to>
    <xdr:sp macro="" textlink="">
      <xdr:nvSpPr>
        <xdr:cNvPr id="23" name="Rectangle: Rounded Corners 22">
          <a:extLst>
            <a:ext uri="{FF2B5EF4-FFF2-40B4-BE49-F238E27FC236}">
              <a16:creationId xmlns:a16="http://schemas.microsoft.com/office/drawing/2014/main" id="{59BCA4A4-CC7B-4798-B1D0-4C79965A73E1}"/>
            </a:ext>
          </a:extLst>
        </xdr:cNvPr>
        <xdr:cNvSpPr/>
      </xdr:nvSpPr>
      <xdr:spPr>
        <a:xfrm>
          <a:off x="4550839" y="2899835"/>
          <a:ext cx="3312574" cy="1756831"/>
        </a:xfrm>
        <a:prstGeom prst="roundRect">
          <a:avLst>
            <a:gd name="adj" fmla="val 303"/>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592666</xdr:colOff>
      <xdr:row>6</xdr:row>
      <xdr:rowOff>137584</xdr:rowOff>
    </xdr:from>
    <xdr:to>
      <xdr:col>17</xdr:col>
      <xdr:colOff>497416</xdr:colOff>
      <xdr:row>24</xdr:row>
      <xdr:rowOff>95252</xdr:rowOff>
    </xdr:to>
    <xdr:sp macro="" textlink="">
      <xdr:nvSpPr>
        <xdr:cNvPr id="25" name="Rectangle: Rounded Corners 24">
          <a:extLst>
            <a:ext uri="{FF2B5EF4-FFF2-40B4-BE49-F238E27FC236}">
              <a16:creationId xmlns:a16="http://schemas.microsoft.com/office/drawing/2014/main" id="{B16CD8B6-FA80-4B92-A7D3-35775F011AF0}"/>
            </a:ext>
          </a:extLst>
        </xdr:cNvPr>
        <xdr:cNvSpPr/>
      </xdr:nvSpPr>
      <xdr:spPr>
        <a:xfrm>
          <a:off x="7958666" y="1280584"/>
          <a:ext cx="2360083" cy="3386668"/>
        </a:xfrm>
        <a:prstGeom prst="roundRect">
          <a:avLst>
            <a:gd name="adj" fmla="val 303"/>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oneCellAnchor>
    <xdr:from>
      <xdr:col>3</xdr:col>
      <xdr:colOff>180975</xdr:colOff>
      <xdr:row>0</xdr:row>
      <xdr:rowOff>77263</xdr:rowOff>
    </xdr:from>
    <xdr:ext cx="10163174" cy="751412"/>
    <xdr:sp macro="" textlink="">
      <xdr:nvSpPr>
        <xdr:cNvPr id="26" name="TextBox 25">
          <a:extLst>
            <a:ext uri="{FF2B5EF4-FFF2-40B4-BE49-F238E27FC236}">
              <a16:creationId xmlns:a16="http://schemas.microsoft.com/office/drawing/2014/main" id="{78673D21-BA50-8A46-7C20-78A0AD1836FC}"/>
            </a:ext>
          </a:extLst>
        </xdr:cNvPr>
        <xdr:cNvSpPr txBox="1"/>
      </xdr:nvSpPr>
      <xdr:spPr>
        <a:xfrm>
          <a:off x="1400175" y="77263"/>
          <a:ext cx="10163174" cy="751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800" b="1">
              <a:solidFill>
                <a:schemeClr val="bg1"/>
              </a:solidFill>
            </a:rPr>
            <a:t>REVENUE</a:t>
          </a:r>
          <a:r>
            <a:rPr lang="en-US" sz="2800" b="1" baseline="0">
              <a:solidFill>
                <a:schemeClr val="bg1"/>
              </a:solidFill>
            </a:rPr>
            <a:t>, PROFIT AND COMMISSION TRACKER</a:t>
          </a:r>
          <a:endParaRPr lang="en-US" sz="2800" b="1">
            <a:solidFill>
              <a:schemeClr val="bg1"/>
            </a:solidFill>
          </a:endParaRPr>
        </a:p>
      </xdr:txBody>
    </xdr:sp>
    <xdr:clientData/>
  </xdr:oneCellAnchor>
  <xdr:oneCellAnchor>
    <xdr:from>
      <xdr:col>5</xdr:col>
      <xdr:colOff>497420</xdr:colOff>
      <xdr:row>3</xdr:row>
      <xdr:rowOff>52916</xdr:rowOff>
    </xdr:from>
    <xdr:ext cx="1151149" cy="311496"/>
    <xdr:sp macro="" textlink="">
      <xdr:nvSpPr>
        <xdr:cNvPr id="6" name="TextBox 5">
          <a:extLst>
            <a:ext uri="{FF2B5EF4-FFF2-40B4-BE49-F238E27FC236}">
              <a16:creationId xmlns:a16="http://schemas.microsoft.com/office/drawing/2014/main" id="{DC6619BF-88CC-F57D-5D1E-779140905842}"/>
            </a:ext>
          </a:extLst>
        </xdr:cNvPr>
        <xdr:cNvSpPr txBox="1"/>
      </xdr:nvSpPr>
      <xdr:spPr>
        <a:xfrm>
          <a:off x="2952753" y="624416"/>
          <a:ext cx="115114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bg1"/>
              </a:solidFill>
            </a:rPr>
            <a:t>TOTAL SALES</a:t>
          </a:r>
        </a:p>
      </xdr:txBody>
    </xdr:sp>
    <xdr:clientData/>
  </xdr:oneCellAnchor>
  <xdr:oneCellAnchor>
    <xdr:from>
      <xdr:col>8</xdr:col>
      <xdr:colOff>550336</xdr:colOff>
      <xdr:row>3</xdr:row>
      <xdr:rowOff>42332</xdr:rowOff>
    </xdr:from>
    <xdr:ext cx="1381660" cy="311496"/>
    <xdr:sp macro="" textlink="">
      <xdr:nvSpPr>
        <xdr:cNvPr id="10" name="TextBox 9">
          <a:extLst>
            <a:ext uri="{FF2B5EF4-FFF2-40B4-BE49-F238E27FC236}">
              <a16:creationId xmlns:a16="http://schemas.microsoft.com/office/drawing/2014/main" id="{E46A6AD6-5D98-40DE-AAF3-60B3864B5768}"/>
            </a:ext>
          </a:extLst>
        </xdr:cNvPr>
        <xdr:cNvSpPr txBox="1"/>
      </xdr:nvSpPr>
      <xdr:spPr>
        <a:xfrm>
          <a:off x="4847169" y="613832"/>
          <a:ext cx="138166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bg1"/>
              </a:solidFill>
            </a:rPr>
            <a:t>AVERAGE</a:t>
          </a:r>
          <a:r>
            <a:rPr lang="en-US" sz="1400" b="1" baseline="0">
              <a:solidFill>
                <a:schemeClr val="bg1"/>
              </a:solidFill>
            </a:rPr>
            <a:t> SALES</a:t>
          </a:r>
          <a:endParaRPr lang="en-US" sz="1400" b="1">
            <a:solidFill>
              <a:schemeClr val="bg1"/>
            </a:solidFill>
          </a:endParaRPr>
        </a:p>
      </xdr:txBody>
    </xdr:sp>
    <xdr:clientData/>
  </xdr:oneCellAnchor>
  <xdr:oneCellAnchor>
    <xdr:from>
      <xdr:col>11</xdr:col>
      <xdr:colOff>560919</xdr:colOff>
      <xdr:row>3</xdr:row>
      <xdr:rowOff>42338</xdr:rowOff>
    </xdr:from>
    <xdr:ext cx="1246303" cy="311496"/>
    <xdr:sp macro="" textlink="">
      <xdr:nvSpPr>
        <xdr:cNvPr id="12" name="TextBox 11">
          <a:extLst>
            <a:ext uri="{FF2B5EF4-FFF2-40B4-BE49-F238E27FC236}">
              <a16:creationId xmlns:a16="http://schemas.microsoft.com/office/drawing/2014/main" id="{3B18692F-8D5F-434C-8A89-AAA80EFFFA7C}"/>
            </a:ext>
          </a:extLst>
        </xdr:cNvPr>
        <xdr:cNvSpPr txBox="1"/>
      </xdr:nvSpPr>
      <xdr:spPr>
        <a:xfrm>
          <a:off x="6699252" y="613838"/>
          <a:ext cx="124630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bg1"/>
              </a:solidFill>
            </a:rPr>
            <a:t>TOTAL</a:t>
          </a:r>
          <a:r>
            <a:rPr lang="en-US" sz="1400" b="1" baseline="0">
              <a:solidFill>
                <a:schemeClr val="bg1"/>
              </a:solidFill>
            </a:rPr>
            <a:t> PROFIT</a:t>
          </a:r>
          <a:endParaRPr lang="en-US" sz="1400" b="1">
            <a:solidFill>
              <a:schemeClr val="bg1"/>
            </a:solidFill>
          </a:endParaRPr>
        </a:p>
      </xdr:txBody>
    </xdr:sp>
    <xdr:clientData/>
  </xdr:oneCellAnchor>
  <xdr:oneCellAnchor>
    <xdr:from>
      <xdr:col>14</xdr:col>
      <xdr:colOff>571506</xdr:colOff>
      <xdr:row>3</xdr:row>
      <xdr:rowOff>31753</xdr:rowOff>
    </xdr:from>
    <xdr:ext cx="1409617" cy="311496"/>
    <xdr:sp macro="" textlink="">
      <xdr:nvSpPr>
        <xdr:cNvPr id="14" name="TextBox 13">
          <a:extLst>
            <a:ext uri="{FF2B5EF4-FFF2-40B4-BE49-F238E27FC236}">
              <a16:creationId xmlns:a16="http://schemas.microsoft.com/office/drawing/2014/main" id="{6DD9D00A-A44F-45CB-BEF0-7A0E7AECDFF4}"/>
            </a:ext>
          </a:extLst>
        </xdr:cNvPr>
        <xdr:cNvSpPr txBox="1"/>
      </xdr:nvSpPr>
      <xdr:spPr>
        <a:xfrm>
          <a:off x="8551339" y="603253"/>
          <a:ext cx="140961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bg1"/>
              </a:solidFill>
            </a:rPr>
            <a:t>PROFIT</a:t>
          </a:r>
          <a:r>
            <a:rPr lang="en-US" sz="1400" b="1" baseline="0">
              <a:solidFill>
                <a:schemeClr val="bg1"/>
              </a:solidFill>
            </a:rPr>
            <a:t> MARGIN</a:t>
          </a:r>
          <a:endParaRPr lang="en-US" sz="1400" b="1">
            <a:solidFill>
              <a:schemeClr val="bg1"/>
            </a:solidFill>
          </a:endParaRPr>
        </a:p>
      </xdr:txBody>
    </xdr:sp>
    <xdr:clientData/>
  </xdr:oneCellAnchor>
  <xdr:oneCellAnchor>
    <xdr:from>
      <xdr:col>2</xdr:col>
      <xdr:colOff>539761</xdr:colOff>
      <xdr:row>6</xdr:row>
      <xdr:rowOff>137586</xdr:rowOff>
    </xdr:from>
    <xdr:ext cx="1502078" cy="311496"/>
    <xdr:sp macro="" textlink="">
      <xdr:nvSpPr>
        <xdr:cNvPr id="15" name="TextBox 14">
          <a:extLst>
            <a:ext uri="{FF2B5EF4-FFF2-40B4-BE49-F238E27FC236}">
              <a16:creationId xmlns:a16="http://schemas.microsoft.com/office/drawing/2014/main" id="{03BF49A7-C58B-461B-B2C1-3D8900FEF99A}"/>
            </a:ext>
          </a:extLst>
        </xdr:cNvPr>
        <xdr:cNvSpPr txBox="1"/>
      </xdr:nvSpPr>
      <xdr:spPr>
        <a:xfrm>
          <a:off x="1153594" y="1280586"/>
          <a:ext cx="150207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bg1"/>
              </a:solidFill>
            </a:rPr>
            <a:t>MONTHLY</a:t>
          </a:r>
          <a:r>
            <a:rPr lang="en-US" sz="1400" b="1" baseline="0">
              <a:solidFill>
                <a:schemeClr val="bg1"/>
              </a:solidFill>
            </a:rPr>
            <a:t> TREND</a:t>
          </a:r>
          <a:endParaRPr lang="en-US" sz="1400" b="1">
            <a:solidFill>
              <a:schemeClr val="bg1"/>
            </a:solidFill>
          </a:endParaRPr>
        </a:p>
      </xdr:txBody>
    </xdr:sp>
    <xdr:clientData/>
  </xdr:oneCellAnchor>
  <xdr:oneCellAnchor>
    <xdr:from>
      <xdr:col>8</xdr:col>
      <xdr:colOff>254003</xdr:colOff>
      <xdr:row>6</xdr:row>
      <xdr:rowOff>137586</xdr:rowOff>
    </xdr:from>
    <xdr:ext cx="1412181" cy="311496"/>
    <xdr:sp macro="" textlink="">
      <xdr:nvSpPr>
        <xdr:cNvPr id="16" name="TextBox 15">
          <a:extLst>
            <a:ext uri="{FF2B5EF4-FFF2-40B4-BE49-F238E27FC236}">
              <a16:creationId xmlns:a16="http://schemas.microsoft.com/office/drawing/2014/main" id="{AC4CDB3F-9156-49D1-BA3A-C11C70BEC1DC}"/>
            </a:ext>
          </a:extLst>
        </xdr:cNvPr>
        <xdr:cNvSpPr txBox="1"/>
      </xdr:nvSpPr>
      <xdr:spPr>
        <a:xfrm>
          <a:off x="4550836" y="1280586"/>
          <a:ext cx="141218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bg1"/>
              </a:solidFill>
            </a:rPr>
            <a:t>PROFIT</a:t>
          </a:r>
          <a:r>
            <a:rPr lang="en-US" sz="1400" b="1" baseline="0">
              <a:solidFill>
                <a:schemeClr val="bg1"/>
              </a:solidFill>
            </a:rPr>
            <a:t> PER CITY</a:t>
          </a:r>
          <a:endParaRPr lang="en-US" sz="1400" b="1">
            <a:solidFill>
              <a:schemeClr val="bg1"/>
            </a:solidFill>
          </a:endParaRPr>
        </a:p>
      </xdr:txBody>
    </xdr:sp>
    <xdr:clientData/>
  </xdr:oneCellAnchor>
  <xdr:oneCellAnchor>
    <xdr:from>
      <xdr:col>13</xdr:col>
      <xdr:colOff>592666</xdr:colOff>
      <xdr:row>6</xdr:row>
      <xdr:rowOff>137584</xdr:rowOff>
    </xdr:from>
    <xdr:ext cx="1956241" cy="311496"/>
    <xdr:sp macro="" textlink="">
      <xdr:nvSpPr>
        <xdr:cNvPr id="18" name="TextBox 17">
          <a:extLst>
            <a:ext uri="{FF2B5EF4-FFF2-40B4-BE49-F238E27FC236}">
              <a16:creationId xmlns:a16="http://schemas.microsoft.com/office/drawing/2014/main" id="{0630FD16-1DA3-464B-B428-DDFD84DC7423}"/>
            </a:ext>
          </a:extLst>
        </xdr:cNvPr>
        <xdr:cNvSpPr txBox="1"/>
      </xdr:nvSpPr>
      <xdr:spPr>
        <a:xfrm>
          <a:off x="7958666" y="1280584"/>
          <a:ext cx="195624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bg1"/>
              </a:solidFill>
            </a:rPr>
            <a:t>TOP</a:t>
          </a:r>
          <a:r>
            <a:rPr lang="en-US" sz="1400" b="1" baseline="0">
              <a:solidFill>
                <a:schemeClr val="bg1"/>
              </a:solidFill>
            </a:rPr>
            <a:t> FIVE (5) PRODUCTS</a:t>
          </a:r>
          <a:endParaRPr lang="en-US" sz="1400" b="1">
            <a:solidFill>
              <a:schemeClr val="bg1"/>
            </a:solidFill>
          </a:endParaRPr>
        </a:p>
      </xdr:txBody>
    </xdr:sp>
    <xdr:clientData/>
  </xdr:oneCellAnchor>
  <xdr:oneCellAnchor>
    <xdr:from>
      <xdr:col>2</xdr:col>
      <xdr:colOff>539753</xdr:colOff>
      <xdr:row>15</xdr:row>
      <xdr:rowOff>31752</xdr:rowOff>
    </xdr:from>
    <xdr:ext cx="2317622" cy="311496"/>
    <xdr:sp macro="" textlink="">
      <xdr:nvSpPr>
        <xdr:cNvPr id="20" name="TextBox 19">
          <a:extLst>
            <a:ext uri="{FF2B5EF4-FFF2-40B4-BE49-F238E27FC236}">
              <a16:creationId xmlns:a16="http://schemas.microsoft.com/office/drawing/2014/main" id="{BE0D9F07-7EFF-459E-9816-C9AF1AEF91AE}"/>
            </a:ext>
          </a:extLst>
        </xdr:cNvPr>
        <xdr:cNvSpPr txBox="1"/>
      </xdr:nvSpPr>
      <xdr:spPr>
        <a:xfrm>
          <a:off x="1153586" y="2889252"/>
          <a:ext cx="231762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bg1"/>
              </a:solidFill>
            </a:rPr>
            <a:t>COMMISSION</a:t>
          </a:r>
          <a:r>
            <a:rPr lang="en-US" sz="1400" b="1" baseline="0">
              <a:solidFill>
                <a:schemeClr val="bg1"/>
              </a:solidFill>
            </a:rPr>
            <a:t> PER PRODUCT</a:t>
          </a:r>
          <a:endParaRPr lang="en-US" sz="1400" b="1">
            <a:solidFill>
              <a:schemeClr val="bg1"/>
            </a:solidFill>
          </a:endParaRPr>
        </a:p>
      </xdr:txBody>
    </xdr:sp>
    <xdr:clientData/>
  </xdr:oneCellAnchor>
  <xdr:oneCellAnchor>
    <xdr:from>
      <xdr:col>8</xdr:col>
      <xdr:colOff>254006</xdr:colOff>
      <xdr:row>15</xdr:row>
      <xdr:rowOff>42335</xdr:rowOff>
    </xdr:from>
    <xdr:ext cx="1724318" cy="311496"/>
    <xdr:sp macro="" textlink="">
      <xdr:nvSpPr>
        <xdr:cNvPr id="22" name="TextBox 21">
          <a:extLst>
            <a:ext uri="{FF2B5EF4-FFF2-40B4-BE49-F238E27FC236}">
              <a16:creationId xmlns:a16="http://schemas.microsoft.com/office/drawing/2014/main" id="{41BD8F0A-5D15-4926-98CD-5982BDA0D670}"/>
            </a:ext>
          </a:extLst>
        </xdr:cNvPr>
        <xdr:cNvSpPr txBox="1"/>
      </xdr:nvSpPr>
      <xdr:spPr>
        <a:xfrm>
          <a:off x="4550839" y="2899835"/>
          <a:ext cx="172431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bg1"/>
              </a:solidFill>
            </a:rPr>
            <a:t>SALES</a:t>
          </a:r>
          <a:r>
            <a:rPr lang="en-US" sz="1400" b="1" baseline="0">
              <a:solidFill>
                <a:schemeClr val="bg1"/>
              </a:solidFill>
            </a:rPr>
            <a:t> PER PRODUCT</a:t>
          </a:r>
          <a:endParaRPr lang="en-US" sz="1400" b="1">
            <a:solidFill>
              <a:schemeClr val="bg1"/>
            </a:solidFill>
          </a:endParaRPr>
        </a:p>
      </xdr:txBody>
    </xdr:sp>
    <xdr:clientData/>
  </xdr:oneCellAnchor>
  <xdr:oneCellAnchor>
    <xdr:from>
      <xdr:col>3</xdr:col>
      <xdr:colOff>190500</xdr:colOff>
      <xdr:row>5</xdr:row>
      <xdr:rowOff>116417</xdr:rowOff>
    </xdr:from>
    <xdr:ext cx="184731" cy="264560"/>
    <xdr:sp macro="" textlink="">
      <xdr:nvSpPr>
        <xdr:cNvPr id="24" name="TextBox 23">
          <a:extLst>
            <a:ext uri="{FF2B5EF4-FFF2-40B4-BE49-F238E27FC236}">
              <a16:creationId xmlns:a16="http://schemas.microsoft.com/office/drawing/2014/main" id="{108CDD28-8DC6-477E-30AC-23503646C048}"/>
            </a:ext>
          </a:extLst>
        </xdr:cNvPr>
        <xdr:cNvSpPr txBox="1"/>
      </xdr:nvSpPr>
      <xdr:spPr>
        <a:xfrm>
          <a:off x="1418167" y="106891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20</xdr:col>
      <xdr:colOff>95250</xdr:colOff>
      <xdr:row>8</xdr:row>
      <xdr:rowOff>169333</xdr:rowOff>
    </xdr:from>
    <xdr:ext cx="184731" cy="264560"/>
    <xdr:sp macro="" textlink="">
      <xdr:nvSpPr>
        <xdr:cNvPr id="27" name="TextBox 26">
          <a:extLst>
            <a:ext uri="{FF2B5EF4-FFF2-40B4-BE49-F238E27FC236}">
              <a16:creationId xmlns:a16="http://schemas.microsoft.com/office/drawing/2014/main" id="{974AA7C1-0595-379D-0DCC-001A0AB9BEC9}"/>
            </a:ext>
          </a:extLst>
        </xdr:cNvPr>
        <xdr:cNvSpPr txBox="1"/>
      </xdr:nvSpPr>
      <xdr:spPr>
        <a:xfrm>
          <a:off x="11959167" y="169333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xdr:col>
      <xdr:colOff>486832</xdr:colOff>
      <xdr:row>4</xdr:row>
      <xdr:rowOff>84672</xdr:rowOff>
    </xdr:from>
    <xdr:ext cx="1301751" cy="374141"/>
    <xdr:sp macro="" textlink="PivotTable!E2">
      <xdr:nvSpPr>
        <xdr:cNvPr id="29" name="TextBox 28">
          <a:extLst>
            <a:ext uri="{FF2B5EF4-FFF2-40B4-BE49-F238E27FC236}">
              <a16:creationId xmlns:a16="http://schemas.microsoft.com/office/drawing/2014/main" id="{E24BBADF-2506-B5D1-D24D-669D9D1B583F}"/>
            </a:ext>
          </a:extLst>
        </xdr:cNvPr>
        <xdr:cNvSpPr txBox="1"/>
      </xdr:nvSpPr>
      <xdr:spPr>
        <a:xfrm>
          <a:off x="1100665" y="846672"/>
          <a:ext cx="130175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378E517-4768-4A66-BAC9-A837F1DE6B98}" type="TxLink">
            <a:rPr lang="en-US" sz="1800" b="1" i="0" u="none" strike="noStrike">
              <a:solidFill>
                <a:schemeClr val="bg1"/>
              </a:solidFill>
              <a:latin typeface="Calibri"/>
              <a:cs typeface="Calibri"/>
            </a:rPr>
            <a:pPr/>
            <a:t> $10,753.90 </a:t>
          </a:fld>
          <a:endParaRPr lang="en-US" sz="1800" b="1">
            <a:solidFill>
              <a:schemeClr val="bg1"/>
            </a:solidFill>
          </a:endParaRPr>
        </a:p>
      </xdr:txBody>
    </xdr:sp>
    <xdr:clientData/>
  </xdr:oneCellAnchor>
  <xdr:oneCellAnchor>
    <xdr:from>
      <xdr:col>19</xdr:col>
      <xdr:colOff>222250</xdr:colOff>
      <xdr:row>7</xdr:row>
      <xdr:rowOff>179917</xdr:rowOff>
    </xdr:from>
    <xdr:ext cx="184731" cy="264560"/>
    <xdr:sp macro="" textlink="">
      <xdr:nvSpPr>
        <xdr:cNvPr id="30" name="TextBox 29">
          <a:extLst>
            <a:ext uri="{FF2B5EF4-FFF2-40B4-BE49-F238E27FC236}">
              <a16:creationId xmlns:a16="http://schemas.microsoft.com/office/drawing/2014/main" id="{4C7CCE04-DBA7-F819-8A3D-44E347CCBB58}"/>
            </a:ext>
          </a:extLst>
        </xdr:cNvPr>
        <xdr:cNvSpPr txBox="1"/>
      </xdr:nvSpPr>
      <xdr:spPr>
        <a:xfrm>
          <a:off x="11271250" y="151341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5</xdr:col>
      <xdr:colOff>497421</xdr:colOff>
      <xdr:row>2</xdr:row>
      <xdr:rowOff>179923</xdr:rowOff>
    </xdr:from>
    <xdr:ext cx="1280579" cy="655949"/>
    <xdr:sp macro="" textlink="PivotTable!B1">
      <xdr:nvSpPr>
        <xdr:cNvPr id="31" name="TextBox 30">
          <a:extLst>
            <a:ext uri="{FF2B5EF4-FFF2-40B4-BE49-F238E27FC236}">
              <a16:creationId xmlns:a16="http://schemas.microsoft.com/office/drawing/2014/main" id="{BC470B9D-2121-4323-A2B2-C5A3AC3E39C2}"/>
            </a:ext>
          </a:extLst>
        </xdr:cNvPr>
        <xdr:cNvSpPr txBox="1"/>
      </xdr:nvSpPr>
      <xdr:spPr>
        <a:xfrm>
          <a:off x="2952754" y="560923"/>
          <a:ext cx="1280579"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4E14557-55D6-4DDF-8A66-82FA6BA3E616}" type="TxLink">
            <a:rPr lang="en-US" sz="1800" b="1" i="0" u="none" strike="noStrike">
              <a:solidFill>
                <a:schemeClr val="bg1"/>
              </a:solidFill>
              <a:latin typeface="Calibri"/>
              <a:cs typeface="Calibri"/>
            </a:rPr>
            <a:pPr/>
            <a:t> $17,110.60 </a:t>
          </a:fld>
          <a:endParaRPr lang="en-US" sz="3200" b="1">
            <a:solidFill>
              <a:schemeClr val="bg1"/>
            </a:solidFill>
          </a:endParaRPr>
        </a:p>
      </xdr:txBody>
    </xdr:sp>
    <xdr:clientData/>
  </xdr:oneCellAnchor>
  <xdr:oneCellAnchor>
    <xdr:from>
      <xdr:col>8</xdr:col>
      <xdr:colOff>550335</xdr:colOff>
      <xdr:row>4</xdr:row>
      <xdr:rowOff>95245</xdr:rowOff>
    </xdr:from>
    <xdr:ext cx="1026581" cy="374141"/>
    <xdr:sp macro="" textlink="PivotTable!B3">
      <xdr:nvSpPr>
        <xdr:cNvPr id="32" name="TextBox 31">
          <a:extLst>
            <a:ext uri="{FF2B5EF4-FFF2-40B4-BE49-F238E27FC236}">
              <a16:creationId xmlns:a16="http://schemas.microsoft.com/office/drawing/2014/main" id="{301C7EF1-069B-44A4-B536-69B5082BAF83}"/>
            </a:ext>
          </a:extLst>
        </xdr:cNvPr>
        <xdr:cNvSpPr txBox="1"/>
      </xdr:nvSpPr>
      <xdr:spPr>
        <a:xfrm>
          <a:off x="4847168" y="857245"/>
          <a:ext cx="102658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6A70A7C3-8079-48F5-9EE0-B0FE37103039}" type="TxLink">
            <a:rPr lang="en-US" sz="1800" b="1" i="0" u="none" strike="noStrike">
              <a:solidFill>
                <a:schemeClr val="bg1"/>
              </a:solidFill>
              <a:latin typeface="Calibri"/>
              <a:cs typeface="Calibri"/>
            </a:rPr>
            <a:pPr/>
            <a:t> $100.06 </a:t>
          </a:fld>
          <a:endParaRPr lang="en-US" sz="3200" b="1">
            <a:solidFill>
              <a:schemeClr val="bg1"/>
            </a:solidFill>
          </a:endParaRPr>
        </a:p>
      </xdr:txBody>
    </xdr:sp>
    <xdr:clientData/>
  </xdr:oneCellAnchor>
  <xdr:oneCellAnchor>
    <xdr:from>
      <xdr:col>11</xdr:col>
      <xdr:colOff>518587</xdr:colOff>
      <xdr:row>4</xdr:row>
      <xdr:rowOff>63505</xdr:rowOff>
    </xdr:from>
    <xdr:ext cx="1259414" cy="374141"/>
    <xdr:sp macro="" textlink="PivotTable!E1">
      <xdr:nvSpPr>
        <xdr:cNvPr id="33" name="TextBox 32">
          <a:extLst>
            <a:ext uri="{FF2B5EF4-FFF2-40B4-BE49-F238E27FC236}">
              <a16:creationId xmlns:a16="http://schemas.microsoft.com/office/drawing/2014/main" id="{85AA1137-A532-42E7-9628-CB6355899798}"/>
            </a:ext>
          </a:extLst>
        </xdr:cNvPr>
        <xdr:cNvSpPr txBox="1"/>
      </xdr:nvSpPr>
      <xdr:spPr>
        <a:xfrm>
          <a:off x="6656920" y="825505"/>
          <a:ext cx="1259414"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4E55B83-AEA1-44A0-A7B2-50F7A26A9CA1}" type="TxLink">
            <a:rPr lang="en-US" sz="1800" b="1" i="0" u="none" strike="noStrike">
              <a:solidFill>
                <a:schemeClr val="bg1"/>
              </a:solidFill>
              <a:latin typeface="Calibri"/>
              <a:cs typeface="Calibri"/>
            </a:rPr>
            <a:pPr/>
            <a:t> $6,356.70 </a:t>
          </a:fld>
          <a:endParaRPr lang="en-US" sz="3200" b="1">
            <a:solidFill>
              <a:schemeClr val="bg1"/>
            </a:solidFill>
          </a:endParaRPr>
        </a:p>
      </xdr:txBody>
    </xdr:sp>
    <xdr:clientData/>
  </xdr:oneCellAnchor>
  <xdr:oneCellAnchor>
    <xdr:from>
      <xdr:col>14</xdr:col>
      <xdr:colOff>582089</xdr:colOff>
      <xdr:row>4</xdr:row>
      <xdr:rowOff>95250</xdr:rowOff>
    </xdr:from>
    <xdr:ext cx="920744" cy="374141"/>
    <xdr:sp macro="" textlink="PivotTable!B19">
      <xdr:nvSpPr>
        <xdr:cNvPr id="34" name="TextBox 33">
          <a:extLst>
            <a:ext uri="{FF2B5EF4-FFF2-40B4-BE49-F238E27FC236}">
              <a16:creationId xmlns:a16="http://schemas.microsoft.com/office/drawing/2014/main" id="{5D96C5D5-C78E-4E4F-BDB0-C459B5C8DD2C}"/>
            </a:ext>
          </a:extLst>
        </xdr:cNvPr>
        <xdr:cNvSpPr txBox="1"/>
      </xdr:nvSpPr>
      <xdr:spPr>
        <a:xfrm>
          <a:off x="8561922" y="857250"/>
          <a:ext cx="920744"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CB3CBFA-3156-416D-9617-8348E27C3937}" type="TxLink">
            <a:rPr lang="en-US" sz="1800" b="1" i="0" u="none" strike="noStrike">
              <a:solidFill>
                <a:schemeClr val="bg1"/>
              </a:solidFill>
              <a:latin typeface="Calibri"/>
              <a:cs typeface="Calibri"/>
            </a:rPr>
            <a:pPr/>
            <a:t>37.15%</a:t>
          </a:fld>
          <a:endParaRPr lang="en-US" sz="3200" b="1">
            <a:solidFill>
              <a:schemeClr val="bg1"/>
            </a:solidFill>
          </a:endParaRPr>
        </a:p>
      </xdr:txBody>
    </xdr:sp>
    <xdr:clientData/>
  </xdr:oneCellAnchor>
  <xdr:twoCellAnchor>
    <xdr:from>
      <xdr:col>8</xdr:col>
      <xdr:colOff>264584</xdr:colOff>
      <xdr:row>14</xdr:row>
      <xdr:rowOff>148165</xdr:rowOff>
    </xdr:from>
    <xdr:to>
      <xdr:col>13</xdr:col>
      <xdr:colOff>433917</xdr:colOff>
      <xdr:row>24</xdr:row>
      <xdr:rowOff>179915</xdr:rowOff>
    </xdr:to>
    <xdr:graphicFrame macro="">
      <xdr:nvGraphicFramePr>
        <xdr:cNvPr id="35" name="Chart 34">
          <a:extLst>
            <a:ext uri="{FF2B5EF4-FFF2-40B4-BE49-F238E27FC236}">
              <a16:creationId xmlns:a16="http://schemas.microsoft.com/office/drawing/2014/main" id="{5EB76EED-DC78-47E6-B0C0-2A7E72244C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529165</xdr:colOff>
      <xdr:row>16</xdr:row>
      <xdr:rowOff>84666</xdr:rowOff>
    </xdr:from>
    <xdr:to>
      <xdr:col>8</xdr:col>
      <xdr:colOff>190498</xdr:colOff>
      <xdr:row>24</xdr:row>
      <xdr:rowOff>158748</xdr:rowOff>
    </xdr:to>
    <xdr:graphicFrame macro="">
      <xdr:nvGraphicFramePr>
        <xdr:cNvPr id="36" name="Chart 35">
          <a:extLst>
            <a:ext uri="{FF2B5EF4-FFF2-40B4-BE49-F238E27FC236}">
              <a16:creationId xmlns:a16="http://schemas.microsoft.com/office/drawing/2014/main" id="{C2630847-FDA1-47BB-90FE-53B91D7B8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137589</xdr:colOff>
      <xdr:row>7</xdr:row>
      <xdr:rowOff>74087</xdr:rowOff>
    </xdr:from>
    <xdr:to>
      <xdr:col>14</xdr:col>
      <xdr:colOff>592669</xdr:colOff>
      <xdr:row>14</xdr:row>
      <xdr:rowOff>42333</xdr:rowOff>
    </xdr:to>
    <xdr:graphicFrame macro="">
      <xdr:nvGraphicFramePr>
        <xdr:cNvPr id="38" name="Chart 37">
          <a:extLst>
            <a:ext uri="{FF2B5EF4-FFF2-40B4-BE49-F238E27FC236}">
              <a16:creationId xmlns:a16="http://schemas.microsoft.com/office/drawing/2014/main" id="{81C2FC92-F92E-42A2-AEE0-8FFA6CD613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21167</xdr:colOff>
      <xdr:row>8</xdr:row>
      <xdr:rowOff>84667</xdr:rowOff>
    </xdr:from>
    <xdr:to>
      <xdr:col>17</xdr:col>
      <xdr:colOff>433917</xdr:colOff>
      <xdr:row>24</xdr:row>
      <xdr:rowOff>52917</xdr:rowOff>
    </xdr:to>
    <xdr:graphicFrame macro="">
      <xdr:nvGraphicFramePr>
        <xdr:cNvPr id="39" name="Chart 38">
          <a:extLst>
            <a:ext uri="{FF2B5EF4-FFF2-40B4-BE49-F238E27FC236}">
              <a16:creationId xmlns:a16="http://schemas.microsoft.com/office/drawing/2014/main" id="{99AB99ED-87D8-4C9B-8E04-908BACDDC8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508011</xdr:colOff>
      <xdr:row>8</xdr:row>
      <xdr:rowOff>10582</xdr:rowOff>
    </xdr:from>
    <xdr:to>
      <xdr:col>8</xdr:col>
      <xdr:colOff>127000</xdr:colOff>
      <xdr:row>14</xdr:row>
      <xdr:rowOff>190499</xdr:rowOff>
    </xdr:to>
    <xdr:graphicFrame macro="">
      <xdr:nvGraphicFramePr>
        <xdr:cNvPr id="8" name="Chart 7">
          <a:extLst>
            <a:ext uri="{FF2B5EF4-FFF2-40B4-BE49-F238E27FC236}">
              <a16:creationId xmlns:a16="http://schemas.microsoft.com/office/drawing/2014/main" id="{976110A7-CCEA-4A97-B655-E5D6A9A78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378882</xdr:colOff>
      <xdr:row>3</xdr:row>
      <xdr:rowOff>138642</xdr:rowOff>
    </xdr:from>
    <xdr:to>
      <xdr:col>2</xdr:col>
      <xdr:colOff>317498</xdr:colOff>
      <xdr:row>14</xdr:row>
      <xdr:rowOff>74083</xdr:rowOff>
    </xdr:to>
    <mc:AlternateContent xmlns:mc="http://schemas.openxmlformats.org/markup-compatibility/2006">
      <mc:Choice xmlns:a14="http://schemas.microsoft.com/office/drawing/2010/main" Requires="a14">
        <xdr:graphicFrame macro="">
          <xdr:nvGraphicFramePr>
            <xdr:cNvPr id="28" name="Month">
              <a:extLst>
                <a:ext uri="{FF2B5EF4-FFF2-40B4-BE49-F238E27FC236}">
                  <a16:creationId xmlns:a16="http://schemas.microsoft.com/office/drawing/2014/main" id="{75999906-0010-3878-DCFD-7F9D2E3A4BD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378882" y="710142"/>
              <a:ext cx="1150889" cy="20309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81.900302199072" createdVersion="8" refreshedVersion="8" minRefreshableVersion="3" recordCount="171" xr:uid="{F944E502-D354-4163-A841-F85209CA42CC}">
  <cacheSource type="worksheet">
    <worksheetSource ref="A1:K172" sheet="DATA"/>
  </cacheSource>
  <cacheFields count="11">
    <cacheField name="Month" numFmtId="14">
      <sharedItems count="12">
        <s v="Jan"/>
        <s v="Feb"/>
        <s v="Mar"/>
        <s v="April"/>
        <s v="May"/>
        <s v="June"/>
        <s v="July"/>
        <s v="Aug"/>
        <s v="Sept"/>
        <s v="Oct"/>
        <s v="Nov"/>
        <s v="Dec"/>
      </sharedItems>
    </cacheField>
    <cacheField name="Transaction Number" numFmtId="164">
      <sharedItems containsSemiMixedTypes="0" containsString="0" containsNumber="1" containsInteger="1" minValue="1001" maxValue="1171"/>
    </cacheField>
    <cacheField name="Product Code" numFmtId="0">
      <sharedItems containsSemiMixedTypes="0" containsString="0" containsNumber="1" containsInteger="1" minValue="1109" maxValue="9822"/>
    </cacheField>
    <cacheField name="Product Description" numFmtId="0">
      <sharedItems count="10">
        <s v="Pool Cover"/>
        <s v="Net"/>
        <s v="8 ft Hose"/>
        <s v="Water Pump"/>
        <s v="Chlorine Test Kit"/>
        <s v="Skimmer"/>
        <s v="1 Gal Muratic Acid"/>
        <s v="AutoVac"/>
        <s v="Algea Killer 8 oz"/>
        <s v="5 Gal Chlorine"/>
      </sharedItems>
    </cacheField>
    <cacheField name="Store Cost" numFmtId="44">
      <sharedItems containsSemiMixedTypes="0" containsString="0" containsNumber="1" minValue="3" maxValue="344"/>
    </cacheField>
    <cacheField name="Sale Price" numFmtId="44">
      <sharedItems containsSemiMixedTypes="0" containsString="0" containsNumber="1" minValue="7" maxValue="502"/>
    </cacheField>
    <cacheField name="Profit" numFmtId="44">
      <sharedItems containsSemiMixedTypes="0" containsString="0" containsNumber="1" minValue="2.9999999999999991" maxValue="158"/>
    </cacheField>
    <cacheField name="Commision 10%" numFmtId="44">
      <sharedItems containsSemiMixedTypes="0" containsString="0" containsNumber="1" minValue="0.29999999999999993" maxValue="31.6"/>
    </cacheField>
    <cacheField name="First Name" numFmtId="0">
      <sharedItems/>
    </cacheField>
    <cacheField name="Last Name" numFmtId="0">
      <sharedItems/>
    </cacheField>
    <cacheField name="Sale Location" numFmtId="0">
      <sharedItems/>
    </cacheField>
  </cacheFields>
  <extLst>
    <ext xmlns:x14="http://schemas.microsoft.com/office/spreadsheetml/2009/9/main" uri="{725AE2AE-9491-48be-B2B4-4EB974FC3084}">
      <x14:pivotCacheDefinition pivotCacheId="153796383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81.955914930557" createdVersion="8" refreshedVersion="8" minRefreshableVersion="3" recordCount="176" xr:uid="{3A3A6F9A-BCAB-4EFC-A707-5C0842CD3B2F}">
  <cacheSource type="worksheet">
    <worksheetSource ref="A1:K177" sheet="DATA"/>
  </cacheSource>
  <cacheFields count="11">
    <cacheField name="Month" numFmtId="0">
      <sharedItems containsBlank="1" count="16">
        <s v="Jan"/>
        <s v="Feb"/>
        <s v="Mar"/>
        <s v="April"/>
        <s v="May"/>
        <s v="June"/>
        <s v="July"/>
        <s v="Aug"/>
        <s v="Sept"/>
        <s v="Oct"/>
        <s v="Nov"/>
        <s v="Dec"/>
        <s v="SUM OF ALL ITEMS"/>
        <s v="SUM OF ITEMS VALUED AT MORE THAN $50"/>
        <s v="SUM OF ITEMS VALUED AT $50 OR LESS "/>
        <m/>
      </sharedItems>
    </cacheField>
    <cacheField name="Transaction Number" numFmtId="0">
      <sharedItems containsString="0" containsBlank="1" containsNumber="1" containsInteger="1" minValue="1001" maxValue="1171"/>
    </cacheField>
    <cacheField name="Product Code" numFmtId="0">
      <sharedItems containsString="0" containsBlank="1" containsNumber="1" containsInteger="1" minValue="1109" maxValue="9822"/>
    </cacheField>
    <cacheField name="Product Description" numFmtId="0">
      <sharedItems containsBlank="1" count="11">
        <s v="Pool Cover"/>
        <s v="Net"/>
        <s v="8 ft Hose"/>
        <s v="Water Pump"/>
        <s v="Chlorine Test Kit"/>
        <s v="Skimmer"/>
        <s v="1 Gal Muratic Acid"/>
        <s v="AutoVac"/>
        <s v="Algea Killer 8 oz"/>
        <s v="5 Gal Chlorine"/>
        <m/>
      </sharedItems>
    </cacheField>
    <cacheField name="Store Cost" numFmtId="0">
      <sharedItems containsString="0" containsBlank="1" containsNumber="1" minValue="3" maxValue="344"/>
    </cacheField>
    <cacheField name="Sale Price" numFmtId="0">
      <sharedItems containsMixedTypes="1" containsNumber="1" minValue="7" maxValue="17110.599999999995" count="14">
        <n v="98.4"/>
        <n v="16.3"/>
        <n v="9.1999999999999993"/>
        <n v="502"/>
        <n v="8"/>
        <n v="87"/>
        <n v="7"/>
        <n v="124"/>
        <n v="14"/>
        <n v="77"/>
        <n v="17110.599999999995"/>
        <n v="16088.399999999994"/>
        <n v="1022.1999999999997"/>
        <s v="P.Margin"/>
      </sharedItems>
    </cacheField>
    <cacheField name="Profit" numFmtId="0">
      <sharedItems containsString="0" containsBlank="1" containsNumber="1" minValue="0.37150655149439554" maxValue="6356.7000000000025"/>
    </cacheField>
    <cacheField name="Commision 10%" numFmtId="0">
      <sharedItems containsString="0" containsBlank="1" containsNumber="1" minValue="0.29999999999999993" maxValue="31.6"/>
    </cacheField>
    <cacheField name="First Name" numFmtId="0">
      <sharedItems containsBlank="1"/>
    </cacheField>
    <cacheField name="Last Name" numFmtId="0">
      <sharedItems containsBlank="1"/>
    </cacheField>
    <cacheField name="Sale Location" numFmtId="0">
      <sharedItems containsBlank="1" count="7">
        <s v="NM"/>
        <s v="CA"/>
        <s v="AZ"/>
        <s v="CO"/>
        <s v="NV"/>
        <s v="UT"/>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83.966150115739" createdVersion="8" refreshedVersion="8" minRefreshableVersion="3" recordCount="171" xr:uid="{3F3B6F91-EDD3-4757-9CBE-BBFE8031BE96}">
  <cacheSource type="worksheet">
    <worksheetSource name="Table1"/>
  </cacheSource>
  <cacheFields count="11">
    <cacheField name="Month" numFmtId="0">
      <sharedItems count="12">
        <s v="Jan"/>
        <s v="Feb"/>
        <s v="Mar"/>
        <s v="Apr"/>
        <s v="May"/>
        <s v="Jun"/>
        <s v="Jul"/>
        <s v="Aug"/>
        <s v="Sep"/>
        <s v="Oct"/>
        <s v="Nov"/>
        <s v="Dec"/>
      </sharedItems>
    </cacheField>
    <cacheField name="Transaction Number" numFmtId="164">
      <sharedItems containsSemiMixedTypes="0" containsString="0" containsNumber="1" containsInteger="1" minValue="1001" maxValue="1171"/>
    </cacheField>
    <cacheField name="Product Code" numFmtId="0">
      <sharedItems containsSemiMixedTypes="0" containsString="0" containsNumber="1" containsInteger="1" minValue="1109" maxValue="9822"/>
    </cacheField>
    <cacheField name="Product Description" numFmtId="0">
      <sharedItems count="10">
        <s v="Pool Cover"/>
        <s v="Net"/>
        <s v="8 ft Hose"/>
        <s v="Water Pump"/>
        <s v="Chlorine Test Kit"/>
        <s v="Skimmer"/>
        <s v="1 Gal Muratic Acid"/>
        <s v="AutoVac"/>
        <s v="Algea Killer 8 oz"/>
        <s v="5 Gal Chlorine"/>
      </sharedItems>
    </cacheField>
    <cacheField name="Store Cost" numFmtId="44">
      <sharedItems containsSemiMixedTypes="0" containsString="0" containsNumber="1" minValue="3" maxValue="344"/>
    </cacheField>
    <cacheField name="Sale Price" numFmtId="44">
      <sharedItems containsSemiMixedTypes="0" containsString="0" containsNumber="1" minValue="7" maxValue="502"/>
    </cacheField>
    <cacheField name="Profit" numFmtId="44">
      <sharedItems containsSemiMixedTypes="0" containsString="0" containsNumber="1" minValue="2.9999999999999991" maxValue="158" count="9">
        <n v="40.100000000000009"/>
        <n v="4.9000000000000004"/>
        <n v="2.9999999999999991"/>
        <n v="158"/>
        <n v="5"/>
        <n v="42"/>
        <n v="3"/>
        <n v="64"/>
        <n v="35"/>
      </sharedItems>
    </cacheField>
    <cacheField name="Commision 10%" numFmtId="44">
      <sharedItems containsSemiMixedTypes="0" containsString="0" containsNumber="1" minValue="0.29999999999999993" maxValue="31.6"/>
    </cacheField>
    <cacheField name="First Name" numFmtId="0">
      <sharedItems/>
    </cacheField>
    <cacheField name="Last Name" numFmtId="0">
      <sharedItems/>
    </cacheField>
    <cacheField name="Sale Location" numFmtId="0">
      <sharedItems/>
    </cacheField>
  </cacheFields>
  <extLst>
    <ext xmlns:x14="http://schemas.microsoft.com/office/spreadsheetml/2009/9/main" uri="{725AE2AE-9491-48be-B2B4-4EB974FC3084}">
      <x14:pivotCacheDefinition pivotCacheId="16251535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
  <r>
    <x v="0"/>
    <n v="1001"/>
    <n v="9822"/>
    <x v="0"/>
    <n v="58.3"/>
    <n v="98.4"/>
    <n v="40.100000000000009"/>
    <n v="8.0200000000000014"/>
    <s v="Chalie"/>
    <s v="Barns"/>
    <s v="NM"/>
  </r>
  <r>
    <x v="0"/>
    <n v="1002"/>
    <n v="2877"/>
    <x v="1"/>
    <n v="11.4"/>
    <n v="16.3"/>
    <n v="4.9000000000000004"/>
    <n v="0.49000000000000005"/>
    <s v="Juan"/>
    <s v="Hernandez"/>
    <s v="CA"/>
  </r>
  <r>
    <x v="0"/>
    <n v="1003"/>
    <n v="2499"/>
    <x v="2"/>
    <n v="6.2"/>
    <n v="9.1999999999999993"/>
    <n v="2.9999999999999991"/>
    <n v="0.29999999999999993"/>
    <s v="Doug"/>
    <s v="Smith"/>
    <s v="AZ"/>
  </r>
  <r>
    <x v="0"/>
    <n v="1004"/>
    <n v="8722"/>
    <x v="3"/>
    <n v="344"/>
    <n v="502"/>
    <n v="158"/>
    <n v="31.6"/>
    <s v="Chalie"/>
    <s v="Barns"/>
    <s v="AZ"/>
  </r>
  <r>
    <x v="0"/>
    <n v="1005"/>
    <n v="1109"/>
    <x v="4"/>
    <n v="3"/>
    <n v="8"/>
    <n v="5"/>
    <n v="0.5"/>
    <s v="Doug"/>
    <s v="Smith"/>
    <s v="AZ"/>
  </r>
  <r>
    <x v="0"/>
    <n v="1006"/>
    <n v="9822"/>
    <x v="0"/>
    <n v="58.3"/>
    <n v="98.4"/>
    <n v="40.100000000000009"/>
    <n v="8.0200000000000014"/>
    <s v="Doug"/>
    <s v="Smith"/>
    <s v="AZ"/>
  </r>
  <r>
    <x v="0"/>
    <n v="1007"/>
    <n v="1109"/>
    <x v="4"/>
    <n v="3"/>
    <n v="8"/>
    <n v="5"/>
    <n v="0.5"/>
    <s v="Hellen"/>
    <s v="Johnson"/>
    <s v="NM"/>
  </r>
  <r>
    <x v="0"/>
    <n v="1008"/>
    <n v="2877"/>
    <x v="1"/>
    <n v="11.4"/>
    <n v="16.3"/>
    <n v="4.9000000000000004"/>
    <n v="0.49000000000000005"/>
    <s v="Doug"/>
    <s v="Smith"/>
    <s v="NM"/>
  </r>
  <r>
    <x v="0"/>
    <n v="1009"/>
    <n v="1109"/>
    <x v="4"/>
    <n v="3"/>
    <n v="8"/>
    <n v="5"/>
    <n v="0.5"/>
    <s v="Doug"/>
    <s v="Smith"/>
    <s v="AZ"/>
  </r>
  <r>
    <x v="0"/>
    <n v="1010"/>
    <n v="2877"/>
    <x v="1"/>
    <n v="11.4"/>
    <n v="16.3"/>
    <n v="4.9000000000000004"/>
    <n v="0.49000000000000005"/>
    <s v="Juan"/>
    <s v="Hernandez"/>
    <s v="CO"/>
  </r>
  <r>
    <x v="0"/>
    <n v="1011"/>
    <n v="2877"/>
    <x v="1"/>
    <n v="11.4"/>
    <n v="16.3"/>
    <n v="4.9000000000000004"/>
    <n v="0.49000000000000005"/>
    <s v="Juan"/>
    <s v="Hernandez"/>
    <s v="AZ"/>
  </r>
  <r>
    <x v="0"/>
    <n v="1012"/>
    <n v="4421"/>
    <x v="5"/>
    <n v="45"/>
    <n v="87"/>
    <n v="42"/>
    <n v="8.4"/>
    <s v="Doug"/>
    <s v="Smith"/>
    <s v="NM"/>
  </r>
  <r>
    <x v="0"/>
    <n v="1013"/>
    <n v="9212"/>
    <x v="6"/>
    <n v="4"/>
    <n v="7"/>
    <n v="3"/>
    <n v="0.30000000000000004"/>
    <s v="Hellen"/>
    <s v="Johnson"/>
    <s v="CO"/>
  </r>
  <r>
    <x v="0"/>
    <n v="1014"/>
    <n v="8722"/>
    <x v="3"/>
    <n v="344"/>
    <n v="502"/>
    <n v="158"/>
    <n v="31.6"/>
    <s v="Chalie"/>
    <s v="Barns"/>
    <s v="CA"/>
  </r>
  <r>
    <x v="0"/>
    <n v="1015"/>
    <n v="2877"/>
    <x v="1"/>
    <n v="11.4"/>
    <n v="16.3"/>
    <n v="4.9000000000000004"/>
    <n v="0.49000000000000005"/>
    <s v="Hellen"/>
    <s v="Johnson"/>
    <s v="AZ"/>
  </r>
  <r>
    <x v="0"/>
    <n v="1016"/>
    <n v="2499"/>
    <x v="2"/>
    <n v="6.2"/>
    <n v="9.1999999999999993"/>
    <n v="2.9999999999999991"/>
    <n v="0.29999999999999993"/>
    <s v="Doug"/>
    <s v="Smith"/>
    <s v="CA"/>
  </r>
  <r>
    <x v="1"/>
    <n v="1017"/>
    <n v="2242"/>
    <x v="7"/>
    <n v="60"/>
    <n v="124"/>
    <n v="64"/>
    <n v="12.8"/>
    <s v="Juan"/>
    <s v="Hernandez"/>
    <s v="NM"/>
  </r>
  <r>
    <x v="1"/>
    <n v="1018"/>
    <n v="1109"/>
    <x v="4"/>
    <n v="3"/>
    <n v="8"/>
    <n v="5"/>
    <n v="0.5"/>
    <s v="Doug"/>
    <s v="Smith"/>
    <s v="CA"/>
  </r>
  <r>
    <x v="1"/>
    <n v="1019"/>
    <n v="2499"/>
    <x v="2"/>
    <n v="6.2"/>
    <n v="9.1999999999999993"/>
    <n v="2.9999999999999991"/>
    <n v="0.29999999999999993"/>
    <s v="Doug"/>
    <s v="Smith"/>
    <s v="CO"/>
  </r>
  <r>
    <x v="1"/>
    <n v="1020"/>
    <n v="2499"/>
    <x v="2"/>
    <n v="6.2"/>
    <n v="9.1999999999999993"/>
    <n v="2.9999999999999991"/>
    <n v="0.29999999999999993"/>
    <s v="Doug"/>
    <s v="Smith"/>
    <s v="NV"/>
  </r>
  <r>
    <x v="1"/>
    <n v="1021"/>
    <n v="1109"/>
    <x v="4"/>
    <n v="3"/>
    <n v="8"/>
    <n v="5"/>
    <n v="0.5"/>
    <s v="Juan"/>
    <s v="Hernandez"/>
    <s v="CO"/>
  </r>
  <r>
    <x v="1"/>
    <n v="1022"/>
    <n v="2877"/>
    <x v="1"/>
    <n v="11.4"/>
    <n v="16.3"/>
    <n v="4.9000000000000004"/>
    <n v="0.49000000000000005"/>
    <s v="Doug"/>
    <s v="Smith"/>
    <s v="UT"/>
  </r>
  <r>
    <x v="1"/>
    <n v="1023"/>
    <n v="1109"/>
    <x v="4"/>
    <n v="3"/>
    <n v="8"/>
    <n v="5"/>
    <n v="0.5"/>
    <s v="Hellen"/>
    <s v="Johnson"/>
    <s v="NM"/>
  </r>
  <r>
    <x v="1"/>
    <n v="1024"/>
    <n v="9212"/>
    <x v="6"/>
    <n v="4"/>
    <n v="7"/>
    <n v="3"/>
    <n v="0.30000000000000004"/>
    <s v="Juan"/>
    <s v="Hernandez"/>
    <s v="UT"/>
  </r>
  <r>
    <x v="1"/>
    <n v="1025"/>
    <n v="2877"/>
    <x v="1"/>
    <n v="11.4"/>
    <n v="16.3"/>
    <n v="4.9000000000000004"/>
    <n v="0.49000000000000005"/>
    <s v="Hellen"/>
    <s v="Johnson"/>
    <s v="NV"/>
  </r>
  <r>
    <x v="1"/>
    <n v="1026"/>
    <n v="6119"/>
    <x v="8"/>
    <n v="9"/>
    <n v="14"/>
    <n v="5"/>
    <n v="0.5"/>
    <s v="Hellen"/>
    <s v="Johnson"/>
    <s v="NM"/>
  </r>
  <r>
    <x v="1"/>
    <n v="1027"/>
    <n v="6119"/>
    <x v="8"/>
    <n v="9"/>
    <n v="14"/>
    <n v="5"/>
    <n v="0.5"/>
    <s v="Chalie"/>
    <s v="Barns"/>
    <s v="NV"/>
  </r>
  <r>
    <x v="1"/>
    <n v="1028"/>
    <n v="8722"/>
    <x v="3"/>
    <n v="344"/>
    <n v="502"/>
    <n v="158"/>
    <n v="31.6"/>
    <s v="Chalie"/>
    <s v="Barns"/>
    <s v="AZ"/>
  </r>
  <r>
    <x v="1"/>
    <n v="1029"/>
    <n v="2499"/>
    <x v="2"/>
    <n v="6.2"/>
    <n v="9.1999999999999993"/>
    <n v="2.9999999999999991"/>
    <n v="0.29999999999999993"/>
    <s v="Juan"/>
    <s v="Hernandez"/>
    <s v="AZ"/>
  </r>
  <r>
    <x v="1"/>
    <n v="1030"/>
    <n v="4421"/>
    <x v="5"/>
    <n v="45"/>
    <n v="87"/>
    <n v="42"/>
    <n v="8.4"/>
    <s v="Juan"/>
    <s v="Hernandez"/>
    <s v="NV"/>
  </r>
  <r>
    <x v="1"/>
    <n v="1031"/>
    <n v="1109"/>
    <x v="4"/>
    <n v="3"/>
    <n v="8"/>
    <n v="5"/>
    <n v="0.5"/>
    <s v="Juan"/>
    <s v="Hernandez"/>
    <s v="CA"/>
  </r>
  <r>
    <x v="1"/>
    <n v="1032"/>
    <n v="2877"/>
    <x v="1"/>
    <n v="11.4"/>
    <n v="16.3"/>
    <n v="4.9000000000000004"/>
    <n v="0.49000000000000005"/>
    <s v="Chalie"/>
    <s v="Barns"/>
    <s v="AZ"/>
  </r>
  <r>
    <x v="1"/>
    <n v="1033"/>
    <n v="9822"/>
    <x v="0"/>
    <n v="58.3"/>
    <n v="98.4"/>
    <n v="40.100000000000009"/>
    <n v="8.0200000000000014"/>
    <s v="Juan"/>
    <s v="Hernandez"/>
    <s v="CA"/>
  </r>
  <r>
    <x v="1"/>
    <n v="1034"/>
    <n v="2877"/>
    <x v="1"/>
    <n v="11.4"/>
    <n v="16.3"/>
    <n v="4.9000000000000004"/>
    <n v="0.49000000000000005"/>
    <s v="Juan"/>
    <s v="Hernandez"/>
    <s v="CO"/>
  </r>
  <r>
    <x v="2"/>
    <n v="1035"/>
    <n v="2499"/>
    <x v="2"/>
    <n v="6.2"/>
    <n v="9.1999999999999993"/>
    <n v="2.9999999999999991"/>
    <n v="0.29999999999999993"/>
    <s v="Hellen"/>
    <s v="Johnson"/>
    <s v="CA"/>
  </r>
  <r>
    <x v="2"/>
    <n v="1036"/>
    <n v="2499"/>
    <x v="2"/>
    <n v="6.2"/>
    <n v="9.1999999999999993"/>
    <n v="2.9999999999999991"/>
    <n v="0.29999999999999993"/>
    <s v="Juan"/>
    <s v="Hernandez"/>
    <s v="NV"/>
  </r>
  <r>
    <x v="2"/>
    <n v="1037"/>
    <n v="6622"/>
    <x v="9"/>
    <n v="42"/>
    <n v="77"/>
    <n v="35"/>
    <n v="7"/>
    <s v="Juan"/>
    <s v="Hernandez"/>
    <s v="NV"/>
  </r>
  <r>
    <x v="2"/>
    <n v="1038"/>
    <n v="2499"/>
    <x v="2"/>
    <n v="6.2"/>
    <n v="9.1999999999999993"/>
    <n v="2.9999999999999991"/>
    <n v="0.29999999999999993"/>
    <s v="Juan"/>
    <s v="Hernandez"/>
    <s v="NV"/>
  </r>
  <r>
    <x v="2"/>
    <n v="1039"/>
    <n v="2877"/>
    <x v="1"/>
    <n v="11.4"/>
    <n v="16.3"/>
    <n v="4.9000000000000004"/>
    <n v="0.49000000000000005"/>
    <s v="Juan"/>
    <s v="Hernandez"/>
    <s v="CA"/>
  </r>
  <r>
    <x v="2"/>
    <n v="1040"/>
    <n v="1109"/>
    <x v="4"/>
    <n v="3"/>
    <n v="8"/>
    <n v="5"/>
    <n v="0.5"/>
    <s v="Juan"/>
    <s v="Hernandez"/>
    <s v="AZ"/>
  </r>
  <r>
    <x v="2"/>
    <n v="1041"/>
    <n v="2499"/>
    <x v="2"/>
    <n v="6.2"/>
    <n v="9.1999999999999993"/>
    <n v="2.9999999999999991"/>
    <n v="0.29999999999999993"/>
    <s v="Chalie"/>
    <s v="Barns"/>
    <s v="NM"/>
  </r>
  <r>
    <x v="2"/>
    <n v="1042"/>
    <n v="8722"/>
    <x v="3"/>
    <n v="344"/>
    <n v="502"/>
    <n v="158"/>
    <n v="31.6"/>
    <s v="Doug"/>
    <s v="Smith"/>
    <s v="NM"/>
  </r>
  <r>
    <x v="2"/>
    <n v="1043"/>
    <n v="2242"/>
    <x v="7"/>
    <n v="60"/>
    <n v="124"/>
    <n v="64"/>
    <n v="12.8"/>
    <s v="Doug"/>
    <s v="Smith"/>
    <s v="CA"/>
  </r>
  <r>
    <x v="2"/>
    <n v="1044"/>
    <n v="2877"/>
    <x v="1"/>
    <n v="11.4"/>
    <n v="16.3"/>
    <n v="4.9000000000000004"/>
    <n v="0.49000000000000005"/>
    <s v="Doug"/>
    <s v="Smith"/>
    <s v="CA"/>
  </r>
  <r>
    <x v="2"/>
    <n v="1045"/>
    <n v="8722"/>
    <x v="3"/>
    <n v="344"/>
    <n v="502"/>
    <n v="158"/>
    <n v="31.6"/>
    <s v="Hellen"/>
    <s v="Johnson"/>
    <s v="AZ"/>
  </r>
  <r>
    <x v="2"/>
    <n v="1046"/>
    <n v="6119"/>
    <x v="8"/>
    <n v="9"/>
    <n v="14"/>
    <n v="5"/>
    <n v="0.5"/>
    <s v="Juan"/>
    <s v="Hernandez"/>
    <s v="UT"/>
  </r>
  <r>
    <x v="2"/>
    <n v="1047"/>
    <n v="6622"/>
    <x v="9"/>
    <n v="42"/>
    <n v="77"/>
    <n v="35"/>
    <n v="7"/>
    <s v="Hellen"/>
    <s v="Johnson"/>
    <s v="AZ"/>
  </r>
  <r>
    <x v="2"/>
    <n v="1048"/>
    <n v="8722"/>
    <x v="3"/>
    <n v="344"/>
    <n v="502"/>
    <n v="158"/>
    <n v="31.6"/>
    <s v="Chalie"/>
    <s v="Barns"/>
    <s v="AZ"/>
  </r>
  <r>
    <x v="3"/>
    <n v="1049"/>
    <n v="2499"/>
    <x v="2"/>
    <n v="6.2"/>
    <n v="9.1999999999999993"/>
    <n v="2.9999999999999991"/>
    <n v="0.29999999999999993"/>
    <s v="Chalie"/>
    <s v="Barns"/>
    <s v="CO"/>
  </r>
  <r>
    <x v="3"/>
    <n v="1050"/>
    <n v="2877"/>
    <x v="1"/>
    <n v="11.4"/>
    <n v="16.3"/>
    <n v="4.9000000000000004"/>
    <n v="0.49000000000000005"/>
    <s v="Chalie"/>
    <s v="Barns"/>
    <s v="AZ"/>
  </r>
  <r>
    <x v="3"/>
    <n v="1051"/>
    <n v="6119"/>
    <x v="8"/>
    <n v="9"/>
    <n v="14"/>
    <n v="5"/>
    <n v="0.5"/>
    <s v="Doug"/>
    <s v="Smith"/>
    <s v="UT"/>
  </r>
  <r>
    <x v="3"/>
    <n v="1052"/>
    <n v="6622"/>
    <x v="9"/>
    <n v="42"/>
    <n v="77"/>
    <n v="35"/>
    <n v="7"/>
    <s v="Doug"/>
    <s v="Smith"/>
    <s v="AZ"/>
  </r>
  <r>
    <x v="3"/>
    <n v="1053"/>
    <n v="2242"/>
    <x v="7"/>
    <n v="60"/>
    <n v="124"/>
    <n v="64"/>
    <n v="12.8"/>
    <s v="Chalie"/>
    <s v="Barns"/>
    <s v="CA"/>
  </r>
  <r>
    <x v="3"/>
    <n v="1054"/>
    <n v="4421"/>
    <x v="5"/>
    <n v="45"/>
    <n v="87"/>
    <n v="42"/>
    <n v="8.4"/>
    <s v="Doug"/>
    <s v="Smith"/>
    <s v="NV"/>
  </r>
  <r>
    <x v="3"/>
    <n v="1055"/>
    <n v="6119"/>
    <x v="8"/>
    <n v="9"/>
    <n v="14"/>
    <n v="5"/>
    <n v="0.5"/>
    <s v="Juan"/>
    <s v="Hernandez"/>
    <s v="NV"/>
  </r>
  <r>
    <x v="3"/>
    <n v="1056"/>
    <n v="1109"/>
    <x v="4"/>
    <n v="3"/>
    <n v="8"/>
    <n v="5"/>
    <n v="0.5"/>
    <s v="Doug"/>
    <s v="Smith"/>
    <s v="CA"/>
  </r>
  <r>
    <x v="3"/>
    <n v="1057"/>
    <n v="2499"/>
    <x v="2"/>
    <n v="6.2"/>
    <n v="9.1999999999999993"/>
    <n v="2.9999999999999991"/>
    <n v="0.29999999999999993"/>
    <s v="Juan"/>
    <s v="Hernandez"/>
    <s v="CA"/>
  </r>
  <r>
    <x v="3"/>
    <n v="1058"/>
    <n v="6119"/>
    <x v="8"/>
    <n v="9"/>
    <n v="14"/>
    <n v="5"/>
    <n v="0.5"/>
    <s v="Hellen"/>
    <s v="Johnson"/>
    <s v="AZ"/>
  </r>
  <r>
    <x v="3"/>
    <n v="1059"/>
    <n v="2242"/>
    <x v="7"/>
    <n v="60"/>
    <n v="124"/>
    <n v="64"/>
    <n v="12.8"/>
    <s v="Doug"/>
    <s v="Smith"/>
    <s v="AZ"/>
  </r>
  <r>
    <x v="3"/>
    <n v="1060"/>
    <n v="6119"/>
    <x v="8"/>
    <n v="9"/>
    <n v="14"/>
    <n v="5"/>
    <n v="0.5"/>
    <s v="Doug"/>
    <s v="Smith"/>
    <s v="NV"/>
  </r>
  <r>
    <x v="4"/>
    <n v="1061"/>
    <n v="1109"/>
    <x v="4"/>
    <n v="3"/>
    <n v="8"/>
    <n v="5"/>
    <n v="0.5"/>
    <s v="Doug"/>
    <s v="Smith"/>
    <s v="NV"/>
  </r>
  <r>
    <x v="4"/>
    <n v="1062"/>
    <n v="2499"/>
    <x v="2"/>
    <n v="6.2"/>
    <n v="9.1999999999999993"/>
    <n v="2.9999999999999991"/>
    <n v="0.29999999999999993"/>
    <s v="Chalie"/>
    <s v="Barns"/>
    <s v="AZ"/>
  </r>
  <r>
    <x v="4"/>
    <n v="1063"/>
    <n v="1109"/>
    <x v="4"/>
    <n v="3"/>
    <n v="8"/>
    <n v="5"/>
    <n v="0.5"/>
    <s v="Doug"/>
    <s v="Smith"/>
    <s v="CA"/>
  </r>
  <r>
    <x v="4"/>
    <n v="1064"/>
    <n v="2499"/>
    <x v="2"/>
    <n v="6.2"/>
    <n v="9.1999999999999993"/>
    <n v="2.9999999999999991"/>
    <n v="0.29999999999999993"/>
    <s v="Hellen"/>
    <s v="Johnson"/>
    <s v="AZ"/>
  </r>
  <r>
    <x v="4"/>
    <n v="1065"/>
    <n v="2499"/>
    <x v="2"/>
    <n v="6.2"/>
    <n v="9.1999999999999993"/>
    <n v="2.9999999999999991"/>
    <n v="0.29999999999999993"/>
    <s v="Doug"/>
    <s v="Smith"/>
    <s v="NM"/>
  </r>
  <r>
    <x v="4"/>
    <n v="1066"/>
    <n v="2877"/>
    <x v="1"/>
    <n v="11.4"/>
    <n v="16.3"/>
    <n v="4.9000000000000004"/>
    <n v="0.49000000000000005"/>
    <s v="Doug"/>
    <s v="Smith"/>
    <s v="NV"/>
  </r>
  <r>
    <x v="4"/>
    <n v="1067"/>
    <n v="2877"/>
    <x v="1"/>
    <n v="11.4"/>
    <n v="16.3"/>
    <n v="4.9000000000000004"/>
    <n v="0.49000000000000005"/>
    <s v="Doug"/>
    <s v="Smith"/>
    <s v="UT"/>
  </r>
  <r>
    <x v="4"/>
    <n v="1068"/>
    <n v="6119"/>
    <x v="8"/>
    <n v="9"/>
    <n v="14"/>
    <n v="5"/>
    <n v="0.5"/>
    <s v="Juan"/>
    <s v="Hernandez"/>
    <s v="CA"/>
  </r>
  <r>
    <x v="4"/>
    <n v="1069"/>
    <n v="1109"/>
    <x v="4"/>
    <n v="3"/>
    <n v="8"/>
    <n v="5"/>
    <n v="0.5"/>
    <s v="Doug"/>
    <s v="Smith"/>
    <s v="AZ"/>
  </r>
  <r>
    <x v="4"/>
    <n v="1070"/>
    <n v="2499"/>
    <x v="2"/>
    <n v="6.2"/>
    <n v="9.1999999999999993"/>
    <n v="2.9999999999999991"/>
    <n v="0.29999999999999993"/>
    <s v="Hellen"/>
    <s v="Johnson"/>
    <s v="AZ"/>
  </r>
  <r>
    <x v="4"/>
    <n v="1071"/>
    <n v="1109"/>
    <x v="4"/>
    <n v="3"/>
    <n v="8"/>
    <n v="5"/>
    <n v="0.5"/>
    <s v="Chalie"/>
    <s v="Barns"/>
    <s v="AZ"/>
  </r>
  <r>
    <x v="4"/>
    <n v="1072"/>
    <n v="1109"/>
    <x v="4"/>
    <n v="3"/>
    <n v="8"/>
    <n v="5"/>
    <n v="0.5"/>
    <s v="Doug"/>
    <s v="Smith"/>
    <s v="NV"/>
  </r>
  <r>
    <x v="4"/>
    <n v="1073"/>
    <n v="6622"/>
    <x v="9"/>
    <n v="42"/>
    <n v="77"/>
    <n v="35"/>
    <n v="7"/>
    <s v="Doug"/>
    <s v="Smith"/>
    <s v="CA"/>
  </r>
  <r>
    <x v="4"/>
    <n v="1074"/>
    <n v="2877"/>
    <x v="1"/>
    <n v="11.4"/>
    <n v="16.3"/>
    <n v="4.9000000000000004"/>
    <n v="0.49000000000000005"/>
    <s v="Doug"/>
    <s v="Smith"/>
    <s v="AZ"/>
  </r>
  <r>
    <x v="4"/>
    <n v="1075"/>
    <n v="1109"/>
    <x v="4"/>
    <n v="3"/>
    <n v="8"/>
    <n v="5"/>
    <n v="0.5"/>
    <s v="Hellen"/>
    <s v="Johnson"/>
    <s v="CA"/>
  </r>
  <r>
    <x v="4"/>
    <n v="1076"/>
    <n v="1109"/>
    <x v="4"/>
    <n v="3"/>
    <n v="8"/>
    <n v="5"/>
    <n v="0.5"/>
    <s v="Juan"/>
    <s v="Hernandez"/>
    <s v="AZ"/>
  </r>
  <r>
    <x v="4"/>
    <n v="1077"/>
    <n v="9822"/>
    <x v="0"/>
    <n v="58.3"/>
    <n v="98.4"/>
    <n v="40.100000000000009"/>
    <n v="8.0200000000000014"/>
    <s v="Hellen"/>
    <s v="Johnson"/>
    <s v="AZ"/>
  </r>
  <r>
    <x v="4"/>
    <n v="1078"/>
    <n v="2877"/>
    <x v="1"/>
    <n v="11.4"/>
    <n v="16.3"/>
    <n v="4.9000000000000004"/>
    <n v="0.49000000000000005"/>
    <s v="Juan"/>
    <s v="Hernandez"/>
    <s v="NV"/>
  </r>
  <r>
    <x v="5"/>
    <n v="1079"/>
    <n v="2877"/>
    <x v="1"/>
    <n v="11.4"/>
    <n v="16.3"/>
    <n v="4.9000000000000004"/>
    <n v="0.49000000000000005"/>
    <s v="Juan"/>
    <s v="Hernandez"/>
    <s v="NM"/>
  </r>
  <r>
    <x v="5"/>
    <n v="1080"/>
    <n v="4421"/>
    <x v="5"/>
    <n v="45"/>
    <n v="87"/>
    <n v="42"/>
    <n v="8.4"/>
    <s v="Doug"/>
    <s v="Smith"/>
    <s v="CA"/>
  </r>
  <r>
    <x v="5"/>
    <n v="1081"/>
    <n v="6119"/>
    <x v="8"/>
    <n v="9"/>
    <n v="14"/>
    <n v="5"/>
    <n v="0.5"/>
    <s v="Doug"/>
    <s v="Smith"/>
    <s v="UT"/>
  </r>
  <r>
    <x v="5"/>
    <n v="1082"/>
    <n v="1109"/>
    <x v="4"/>
    <n v="3"/>
    <n v="8"/>
    <n v="5"/>
    <n v="0.5"/>
    <s v="Chalie"/>
    <s v="Barns"/>
    <s v="CA"/>
  </r>
  <r>
    <x v="5"/>
    <n v="1083"/>
    <n v="1109"/>
    <x v="4"/>
    <n v="3"/>
    <n v="8"/>
    <n v="5"/>
    <n v="0.5"/>
    <s v="Chalie"/>
    <s v="Barns"/>
    <s v="NV"/>
  </r>
  <r>
    <x v="5"/>
    <n v="1084"/>
    <n v="6119"/>
    <x v="8"/>
    <n v="9"/>
    <n v="14"/>
    <n v="5"/>
    <n v="0.5"/>
    <s v="Chalie"/>
    <s v="Barns"/>
    <s v="AZ"/>
  </r>
  <r>
    <x v="5"/>
    <n v="1085"/>
    <n v="9822"/>
    <x v="0"/>
    <n v="58.3"/>
    <n v="98.4"/>
    <n v="40.100000000000009"/>
    <n v="8.0200000000000014"/>
    <s v="Doug"/>
    <s v="Smith"/>
    <s v="NV"/>
  </r>
  <r>
    <x v="5"/>
    <n v="1086"/>
    <n v="1109"/>
    <x v="4"/>
    <n v="3"/>
    <n v="8"/>
    <n v="5"/>
    <n v="0.5"/>
    <s v="Hellen"/>
    <s v="Johnson"/>
    <s v="AZ"/>
  </r>
  <r>
    <x v="5"/>
    <n v="1087"/>
    <n v="2499"/>
    <x v="2"/>
    <n v="6.2"/>
    <n v="9.1999999999999993"/>
    <n v="2.9999999999999991"/>
    <n v="0.29999999999999993"/>
    <s v="Chalie"/>
    <s v="Barns"/>
    <s v="CA"/>
  </r>
  <r>
    <x v="5"/>
    <n v="1088"/>
    <n v="2499"/>
    <x v="2"/>
    <n v="6.2"/>
    <n v="9.1999999999999993"/>
    <n v="2.9999999999999991"/>
    <n v="0.29999999999999993"/>
    <s v="Chalie"/>
    <s v="Barns"/>
    <s v="NM"/>
  </r>
  <r>
    <x v="5"/>
    <n v="1089"/>
    <n v="6119"/>
    <x v="8"/>
    <n v="9"/>
    <n v="14"/>
    <n v="5"/>
    <n v="0.5"/>
    <s v="Doug"/>
    <s v="Smith"/>
    <s v="NV"/>
  </r>
  <r>
    <x v="5"/>
    <n v="1090"/>
    <n v="2877"/>
    <x v="1"/>
    <n v="11.4"/>
    <n v="16.3"/>
    <n v="4.9000000000000004"/>
    <n v="0.49000000000000005"/>
    <s v="Chalie"/>
    <s v="Barns"/>
    <s v="CA"/>
  </r>
  <r>
    <x v="5"/>
    <n v="1091"/>
    <n v="2877"/>
    <x v="1"/>
    <n v="11.4"/>
    <n v="16.3"/>
    <n v="4.9000000000000004"/>
    <n v="0.49000000000000005"/>
    <s v="Hellen"/>
    <s v="Johnson"/>
    <s v="NV"/>
  </r>
  <r>
    <x v="5"/>
    <n v="1092"/>
    <n v="2877"/>
    <x v="1"/>
    <n v="11.4"/>
    <n v="16.3"/>
    <n v="4.9000000000000004"/>
    <n v="0.49000000000000005"/>
    <s v="Doug"/>
    <s v="Smith"/>
    <s v="CA"/>
  </r>
  <r>
    <x v="5"/>
    <n v="1093"/>
    <n v="6119"/>
    <x v="8"/>
    <n v="9"/>
    <n v="14"/>
    <n v="5"/>
    <n v="0.5"/>
    <s v="Juan"/>
    <s v="Hernandez"/>
    <s v="AZ"/>
  </r>
  <r>
    <x v="5"/>
    <n v="1094"/>
    <n v="6119"/>
    <x v="8"/>
    <n v="9"/>
    <n v="14"/>
    <n v="5"/>
    <n v="0.5"/>
    <s v="Doug"/>
    <s v="Smith"/>
    <s v="CA"/>
  </r>
  <r>
    <x v="5"/>
    <n v="1095"/>
    <n v="2499"/>
    <x v="2"/>
    <n v="6.2"/>
    <n v="9.1999999999999993"/>
    <n v="2.9999999999999991"/>
    <n v="0.29999999999999993"/>
    <s v="Hellen"/>
    <s v="Johnson"/>
    <s v="AZ"/>
  </r>
  <r>
    <x v="5"/>
    <n v="1096"/>
    <n v="6119"/>
    <x v="8"/>
    <n v="9"/>
    <n v="14"/>
    <n v="5"/>
    <n v="0.5"/>
    <s v="Doug"/>
    <s v="Smith"/>
    <s v="AZ"/>
  </r>
  <r>
    <x v="5"/>
    <n v="1097"/>
    <n v="9212"/>
    <x v="6"/>
    <n v="4"/>
    <n v="7"/>
    <n v="3"/>
    <n v="0.30000000000000004"/>
    <s v="Hellen"/>
    <s v="Johnson"/>
    <s v="NV"/>
  </r>
  <r>
    <x v="5"/>
    <n v="1098"/>
    <n v="2877"/>
    <x v="1"/>
    <n v="11.4"/>
    <n v="16.3"/>
    <n v="4.9000000000000004"/>
    <n v="0.49000000000000005"/>
    <s v="Juan"/>
    <s v="Hernandez"/>
    <s v="NM"/>
  </r>
  <r>
    <x v="6"/>
    <n v="1099"/>
    <n v="2877"/>
    <x v="1"/>
    <n v="11.4"/>
    <n v="16.3"/>
    <n v="4.9000000000000004"/>
    <n v="0.49000000000000005"/>
    <s v="Doug"/>
    <s v="Smith"/>
    <s v="CA"/>
  </r>
  <r>
    <x v="6"/>
    <n v="1100"/>
    <n v="6119"/>
    <x v="8"/>
    <n v="9"/>
    <n v="14"/>
    <n v="5"/>
    <n v="0.5"/>
    <s v="Chalie"/>
    <s v="Barns"/>
    <s v="UT"/>
  </r>
  <r>
    <x v="6"/>
    <n v="1101"/>
    <n v="2499"/>
    <x v="2"/>
    <n v="6.2"/>
    <n v="9.1999999999999993"/>
    <n v="2.9999999999999991"/>
    <n v="0.29999999999999993"/>
    <s v="Doug"/>
    <s v="Smith"/>
    <s v="CA"/>
  </r>
  <r>
    <x v="6"/>
    <n v="1102"/>
    <n v="2242"/>
    <x v="7"/>
    <n v="60"/>
    <n v="124"/>
    <n v="64"/>
    <n v="12.8"/>
    <s v="Juan"/>
    <s v="Hernandez"/>
    <s v="NV"/>
  </r>
  <r>
    <x v="6"/>
    <n v="1103"/>
    <n v="2877"/>
    <x v="1"/>
    <n v="11.4"/>
    <n v="16.3"/>
    <n v="4.9000000000000004"/>
    <n v="0.49000000000000005"/>
    <s v="Juan"/>
    <s v="Hernandez"/>
    <s v="AZ"/>
  </r>
  <r>
    <x v="6"/>
    <n v="1104"/>
    <n v="2877"/>
    <x v="1"/>
    <n v="11.4"/>
    <n v="16.3"/>
    <n v="4.9000000000000004"/>
    <n v="0.49000000000000005"/>
    <s v="Doug"/>
    <s v="Smith"/>
    <s v="NV"/>
  </r>
  <r>
    <x v="6"/>
    <n v="1105"/>
    <n v="2499"/>
    <x v="2"/>
    <n v="6.2"/>
    <n v="9.1999999999999993"/>
    <n v="2.9999999999999991"/>
    <n v="0.29999999999999993"/>
    <s v="Juan"/>
    <s v="Hernandez"/>
    <s v="AZ"/>
  </r>
  <r>
    <x v="6"/>
    <n v="1106"/>
    <n v="9822"/>
    <x v="0"/>
    <n v="58.3"/>
    <n v="98.4"/>
    <n v="40.100000000000009"/>
    <n v="8.0200000000000014"/>
    <s v="Juan"/>
    <s v="Hernandez"/>
    <s v="CA"/>
  </r>
  <r>
    <x v="6"/>
    <n v="1107"/>
    <n v="1109"/>
    <x v="4"/>
    <n v="3"/>
    <n v="8"/>
    <n v="5"/>
    <n v="0.5"/>
    <s v="Hellen"/>
    <s v="Johnson"/>
    <s v="NM"/>
  </r>
  <r>
    <x v="6"/>
    <n v="1108"/>
    <n v="9822"/>
    <x v="0"/>
    <n v="58.3"/>
    <n v="98.4"/>
    <n v="40.100000000000009"/>
    <n v="8.0200000000000014"/>
    <s v="Doug"/>
    <s v="Smith"/>
    <s v="NV"/>
  </r>
  <r>
    <x v="6"/>
    <n v="1109"/>
    <n v="8722"/>
    <x v="3"/>
    <n v="344"/>
    <n v="502"/>
    <n v="158"/>
    <n v="31.6"/>
    <s v="Juan"/>
    <s v="Hernandez"/>
    <s v="CA"/>
  </r>
  <r>
    <x v="6"/>
    <n v="1110"/>
    <n v="8722"/>
    <x v="3"/>
    <n v="344"/>
    <n v="502"/>
    <n v="158"/>
    <n v="31.6"/>
    <s v="Hellen"/>
    <s v="Johnson"/>
    <s v="NV"/>
  </r>
  <r>
    <x v="6"/>
    <n v="1111"/>
    <n v="6622"/>
    <x v="9"/>
    <n v="42"/>
    <n v="77"/>
    <n v="35"/>
    <n v="7"/>
    <s v="Hellen"/>
    <s v="Johnson"/>
    <s v="CA"/>
  </r>
  <r>
    <x v="6"/>
    <n v="1112"/>
    <n v="6622"/>
    <x v="9"/>
    <n v="42"/>
    <n v="77"/>
    <n v="35"/>
    <n v="7"/>
    <s v="Doug"/>
    <s v="Smith"/>
    <s v="AZ"/>
  </r>
  <r>
    <x v="6"/>
    <n v="1113"/>
    <n v="9822"/>
    <x v="0"/>
    <n v="58.3"/>
    <n v="98.4"/>
    <n v="40.100000000000009"/>
    <n v="8.0200000000000014"/>
    <s v="Chalie"/>
    <s v="Barns"/>
    <s v="CA"/>
  </r>
  <r>
    <x v="6"/>
    <n v="1114"/>
    <n v="2242"/>
    <x v="7"/>
    <n v="60"/>
    <n v="124"/>
    <n v="64"/>
    <n v="12.8"/>
    <s v="Juan"/>
    <s v="Hernandez"/>
    <s v="AZ"/>
  </r>
  <r>
    <x v="6"/>
    <n v="1115"/>
    <n v="8722"/>
    <x v="3"/>
    <n v="344"/>
    <n v="502"/>
    <n v="158"/>
    <n v="31.6"/>
    <s v="Chalie"/>
    <s v="Barns"/>
    <s v="AZ"/>
  </r>
  <r>
    <x v="6"/>
    <n v="1116"/>
    <n v="6622"/>
    <x v="9"/>
    <n v="42"/>
    <n v="77"/>
    <n v="35"/>
    <n v="7"/>
    <s v="Doug"/>
    <s v="Smith"/>
    <s v="NV"/>
  </r>
  <r>
    <x v="6"/>
    <n v="1117"/>
    <n v="8722"/>
    <x v="3"/>
    <n v="344"/>
    <n v="502"/>
    <n v="158"/>
    <n v="31.6"/>
    <s v="Hellen"/>
    <s v="Johnson"/>
    <s v="NM"/>
  </r>
  <r>
    <x v="6"/>
    <n v="1118"/>
    <n v="9822"/>
    <x v="0"/>
    <n v="58.3"/>
    <n v="98.4"/>
    <n v="40.100000000000009"/>
    <n v="8.0200000000000014"/>
    <s v="Juan"/>
    <s v="Hernandez"/>
    <s v="CA"/>
  </r>
  <r>
    <x v="6"/>
    <n v="1119"/>
    <n v="2242"/>
    <x v="7"/>
    <n v="60"/>
    <n v="124"/>
    <n v="64"/>
    <n v="12.8"/>
    <s v="Chalie"/>
    <s v="Barns"/>
    <s v="UT"/>
  </r>
  <r>
    <x v="6"/>
    <n v="1120"/>
    <n v="2242"/>
    <x v="7"/>
    <n v="60"/>
    <n v="124"/>
    <n v="64"/>
    <n v="12.8"/>
    <s v="Doug"/>
    <s v="Smith"/>
    <s v="CA"/>
  </r>
  <r>
    <x v="6"/>
    <n v="1121"/>
    <n v="4421"/>
    <x v="5"/>
    <n v="45"/>
    <n v="87"/>
    <n v="42"/>
    <n v="8.4"/>
    <s v="Doug"/>
    <s v="Smith"/>
    <s v="NV"/>
  </r>
  <r>
    <x v="6"/>
    <n v="1122"/>
    <n v="8722"/>
    <x v="3"/>
    <n v="344"/>
    <n v="502"/>
    <n v="158"/>
    <n v="31.6"/>
    <s v="Doug"/>
    <s v="Smith"/>
    <s v="AZ"/>
  </r>
  <r>
    <x v="6"/>
    <n v="1123"/>
    <n v="9822"/>
    <x v="0"/>
    <n v="58.3"/>
    <n v="98.4"/>
    <n v="40.100000000000009"/>
    <n v="8.0200000000000014"/>
    <s v="Doug"/>
    <s v="Smith"/>
    <s v="NV"/>
  </r>
  <r>
    <x v="6"/>
    <n v="1124"/>
    <n v="4421"/>
    <x v="5"/>
    <n v="45"/>
    <n v="87"/>
    <n v="42"/>
    <n v="8.4"/>
    <s v="Doug"/>
    <s v="Smith"/>
    <s v="AZ"/>
  </r>
  <r>
    <x v="7"/>
    <n v="1125"/>
    <n v="2242"/>
    <x v="7"/>
    <n v="60"/>
    <n v="124"/>
    <n v="64"/>
    <n v="12.8"/>
    <s v="Doug"/>
    <s v="Smith"/>
    <s v="CA"/>
  </r>
  <r>
    <x v="7"/>
    <n v="1126"/>
    <n v="9212"/>
    <x v="6"/>
    <n v="4"/>
    <n v="7"/>
    <n v="3"/>
    <n v="0.30000000000000004"/>
    <s v="Doug"/>
    <s v="Smith"/>
    <s v="NM"/>
  </r>
  <r>
    <x v="7"/>
    <n v="1127"/>
    <n v="8722"/>
    <x v="3"/>
    <n v="344"/>
    <n v="502"/>
    <n v="158"/>
    <n v="31.6"/>
    <s v="Chalie"/>
    <s v="Barns"/>
    <s v="NV"/>
  </r>
  <r>
    <x v="7"/>
    <n v="1128"/>
    <n v="6622"/>
    <x v="9"/>
    <n v="42"/>
    <n v="77"/>
    <n v="35"/>
    <n v="7"/>
    <s v="Juan"/>
    <s v="Hernandez"/>
    <s v="CA"/>
  </r>
  <r>
    <x v="7"/>
    <n v="1129"/>
    <n v="9822"/>
    <x v="0"/>
    <n v="58.3"/>
    <n v="98.4"/>
    <n v="40.100000000000009"/>
    <n v="8.0200000000000014"/>
    <s v="Hellen"/>
    <s v="Johnson"/>
    <s v="NV"/>
  </r>
  <r>
    <x v="7"/>
    <n v="1130"/>
    <n v="4421"/>
    <x v="5"/>
    <n v="45"/>
    <n v="87"/>
    <n v="42"/>
    <n v="8.4"/>
    <s v="Hellen"/>
    <s v="Johnson"/>
    <s v="CA"/>
  </r>
  <r>
    <x v="7"/>
    <n v="1131"/>
    <n v="9212"/>
    <x v="6"/>
    <n v="4"/>
    <n v="7"/>
    <n v="3"/>
    <n v="0.30000000000000004"/>
    <s v="Hellen"/>
    <s v="Johnson"/>
    <s v="AZ"/>
  </r>
  <r>
    <x v="7"/>
    <n v="1132"/>
    <n v="9212"/>
    <x v="6"/>
    <n v="4"/>
    <n v="7"/>
    <n v="3"/>
    <n v="0.30000000000000004"/>
    <s v="Hellen"/>
    <s v="Johnson"/>
    <s v="CA"/>
  </r>
  <r>
    <x v="7"/>
    <n v="1133"/>
    <n v="9822"/>
    <x v="0"/>
    <n v="58.3"/>
    <n v="98.4"/>
    <n v="40.100000000000009"/>
    <n v="8.0200000000000014"/>
    <s v="Chalie"/>
    <s v="Barns"/>
    <s v="AZ"/>
  </r>
  <r>
    <x v="7"/>
    <n v="1134"/>
    <n v="9822"/>
    <x v="0"/>
    <n v="58.3"/>
    <n v="98.4"/>
    <n v="40.100000000000009"/>
    <n v="8.0200000000000014"/>
    <s v="Doug"/>
    <s v="Smith"/>
    <s v="AZ"/>
  </r>
  <r>
    <x v="7"/>
    <n v="1135"/>
    <n v="8722"/>
    <x v="3"/>
    <n v="344"/>
    <n v="502"/>
    <n v="158"/>
    <n v="31.6"/>
    <s v="Chalie"/>
    <s v="Barns"/>
    <s v="NV"/>
  </r>
  <r>
    <x v="7"/>
    <n v="1136"/>
    <n v="2242"/>
    <x v="7"/>
    <n v="60"/>
    <n v="124"/>
    <n v="64"/>
    <n v="12.8"/>
    <s v="Doug"/>
    <s v="Smith"/>
    <s v="NM"/>
  </r>
  <r>
    <x v="7"/>
    <n v="1137"/>
    <n v="9822"/>
    <x v="0"/>
    <n v="58.3"/>
    <n v="98.4"/>
    <n v="40.100000000000009"/>
    <n v="8.0200000000000014"/>
    <s v="Juan"/>
    <s v="Hernandez"/>
    <s v="CA"/>
  </r>
  <r>
    <x v="7"/>
    <n v="1138"/>
    <n v="8722"/>
    <x v="3"/>
    <n v="344"/>
    <n v="502"/>
    <n v="158"/>
    <n v="31.6"/>
    <s v="Chalie"/>
    <s v="Barns"/>
    <s v="UT"/>
  </r>
  <r>
    <x v="7"/>
    <n v="1139"/>
    <n v="4421"/>
    <x v="5"/>
    <n v="45"/>
    <n v="87"/>
    <n v="42"/>
    <n v="8.4"/>
    <s v="Doug"/>
    <s v="Smith"/>
    <s v="CA"/>
  </r>
  <r>
    <x v="7"/>
    <n v="1140"/>
    <n v="4421"/>
    <x v="5"/>
    <n v="45"/>
    <n v="87"/>
    <n v="42"/>
    <n v="8.4"/>
    <s v="Juan"/>
    <s v="Hernandez"/>
    <s v="NV"/>
  </r>
  <r>
    <x v="7"/>
    <n v="1141"/>
    <n v="9212"/>
    <x v="6"/>
    <n v="4"/>
    <n v="7"/>
    <n v="3"/>
    <n v="0.30000000000000004"/>
    <s v="Juan"/>
    <s v="Hernandez"/>
    <s v="AZ"/>
  </r>
  <r>
    <x v="8"/>
    <n v="1142"/>
    <n v="2242"/>
    <x v="7"/>
    <n v="60"/>
    <n v="124"/>
    <n v="64"/>
    <n v="12.8"/>
    <s v="Juan"/>
    <s v="Hernandez"/>
    <s v="NV"/>
  </r>
  <r>
    <x v="8"/>
    <n v="1143"/>
    <n v="9822"/>
    <x v="0"/>
    <n v="58.3"/>
    <n v="98.4"/>
    <n v="40.100000000000009"/>
    <n v="8.0200000000000014"/>
    <s v="Hellen"/>
    <s v="Johnson"/>
    <s v="AZ"/>
  </r>
  <r>
    <x v="8"/>
    <n v="1144"/>
    <n v="2242"/>
    <x v="7"/>
    <n v="60"/>
    <n v="124"/>
    <n v="64"/>
    <n v="12.8"/>
    <s v="Hellen"/>
    <s v="Johnson"/>
    <s v="CA"/>
  </r>
  <r>
    <x v="8"/>
    <n v="1145"/>
    <n v="4421"/>
    <x v="5"/>
    <n v="45"/>
    <n v="87"/>
    <n v="42"/>
    <n v="8.4"/>
    <s v="Hellen"/>
    <s v="Johnson"/>
    <s v="NM"/>
  </r>
  <r>
    <x v="8"/>
    <n v="1146"/>
    <n v="8722"/>
    <x v="3"/>
    <n v="344"/>
    <n v="502"/>
    <n v="158"/>
    <n v="31.6"/>
    <s v="Hellen"/>
    <s v="Johnson"/>
    <s v="NV"/>
  </r>
  <r>
    <x v="8"/>
    <n v="1147"/>
    <n v="9822"/>
    <x v="0"/>
    <n v="58.3"/>
    <n v="98.4"/>
    <n v="40.100000000000009"/>
    <n v="8.0200000000000014"/>
    <s v="Chalie"/>
    <s v="Barns"/>
    <s v="CA"/>
  </r>
  <r>
    <x v="8"/>
    <n v="1148"/>
    <n v="9212"/>
    <x v="6"/>
    <n v="4"/>
    <n v="7"/>
    <n v="3"/>
    <n v="0.30000000000000004"/>
    <s v="Doug"/>
    <s v="Smith"/>
    <s v="AZ"/>
  </r>
  <r>
    <x v="8"/>
    <n v="1149"/>
    <n v="8722"/>
    <x v="3"/>
    <n v="344"/>
    <n v="502"/>
    <n v="158"/>
    <n v="31.6"/>
    <s v="Chalie"/>
    <s v="Barns"/>
    <s v="AZ"/>
  </r>
  <r>
    <x v="9"/>
    <n v="1150"/>
    <n v="2242"/>
    <x v="7"/>
    <n v="60"/>
    <n v="124"/>
    <n v="64"/>
    <n v="12.8"/>
    <s v="Doug"/>
    <s v="Smith"/>
    <s v="UT"/>
  </r>
  <r>
    <x v="9"/>
    <n v="1151"/>
    <n v="2242"/>
    <x v="7"/>
    <n v="60"/>
    <n v="124"/>
    <n v="64"/>
    <n v="12.8"/>
    <s v="Juan"/>
    <s v="Hernandez"/>
    <s v="CA"/>
  </r>
  <r>
    <x v="9"/>
    <n v="1152"/>
    <n v="4421"/>
    <x v="5"/>
    <n v="45"/>
    <n v="87"/>
    <n v="42"/>
    <n v="8.4"/>
    <s v="Chalie"/>
    <s v="Barns"/>
    <s v="NV"/>
  </r>
  <r>
    <x v="9"/>
    <n v="1153"/>
    <n v="8722"/>
    <x v="3"/>
    <n v="344"/>
    <n v="502"/>
    <n v="158"/>
    <n v="31.6"/>
    <s v="Doug"/>
    <s v="Smith"/>
    <s v="AZ"/>
  </r>
  <r>
    <x v="9"/>
    <n v="1154"/>
    <n v="9822"/>
    <x v="0"/>
    <n v="58.3"/>
    <n v="98.4"/>
    <n v="40.100000000000009"/>
    <n v="8.0200000000000014"/>
    <s v="Juan"/>
    <s v="Hernandez"/>
    <s v="NV"/>
  </r>
  <r>
    <x v="9"/>
    <n v="1155"/>
    <n v="4421"/>
    <x v="5"/>
    <n v="45"/>
    <n v="87"/>
    <n v="42"/>
    <n v="8.4"/>
    <s v="Doug"/>
    <s v="Smith"/>
    <s v="AZ"/>
  </r>
  <r>
    <x v="9"/>
    <n v="1156"/>
    <n v="2242"/>
    <x v="7"/>
    <n v="60"/>
    <n v="124"/>
    <n v="64"/>
    <n v="12.8"/>
    <s v="Doug"/>
    <s v="Smith"/>
    <s v="CA"/>
  </r>
  <r>
    <x v="9"/>
    <n v="1157"/>
    <n v="9212"/>
    <x v="6"/>
    <n v="4"/>
    <n v="7"/>
    <n v="3"/>
    <n v="0.30000000000000004"/>
    <s v="Doug"/>
    <s v="Smith"/>
    <s v="NM"/>
  </r>
  <r>
    <x v="10"/>
    <n v="1158"/>
    <n v="8722"/>
    <x v="3"/>
    <n v="344"/>
    <n v="502"/>
    <n v="158"/>
    <n v="31.6"/>
    <s v="Chalie"/>
    <s v="Barns"/>
    <s v="NV"/>
  </r>
  <r>
    <x v="10"/>
    <n v="1159"/>
    <n v="6622"/>
    <x v="9"/>
    <n v="42"/>
    <n v="77"/>
    <n v="35"/>
    <n v="7"/>
    <s v="Doug"/>
    <s v="Smith"/>
    <s v="CA"/>
  </r>
  <r>
    <x v="10"/>
    <n v="1160"/>
    <n v="9822"/>
    <x v="0"/>
    <n v="58.3"/>
    <n v="98.4"/>
    <n v="40.100000000000009"/>
    <n v="8.0200000000000014"/>
    <s v="Hellen"/>
    <s v="Johnson"/>
    <s v="NV"/>
  </r>
  <r>
    <x v="10"/>
    <n v="1161"/>
    <n v="4421"/>
    <x v="5"/>
    <n v="45"/>
    <n v="87"/>
    <n v="42"/>
    <n v="8.4"/>
    <s v="Juan"/>
    <s v="Hernandez"/>
    <s v="CA"/>
  </r>
  <r>
    <x v="10"/>
    <n v="1162"/>
    <n v="9212"/>
    <x v="6"/>
    <n v="4"/>
    <n v="7"/>
    <n v="3"/>
    <n v="0.30000000000000004"/>
    <s v="Chalie"/>
    <s v="Barns"/>
    <s v="AZ"/>
  </r>
  <r>
    <x v="10"/>
    <n v="1163"/>
    <n v="9212"/>
    <x v="6"/>
    <n v="4"/>
    <n v="7"/>
    <n v="3"/>
    <n v="0.30000000000000004"/>
    <s v="Doug"/>
    <s v="Smith"/>
    <s v="CA"/>
  </r>
  <r>
    <x v="10"/>
    <n v="1164"/>
    <n v="9822"/>
    <x v="0"/>
    <n v="58.3"/>
    <n v="98.4"/>
    <n v="40.100000000000009"/>
    <n v="8.0200000000000014"/>
    <s v="Doug"/>
    <s v="Smith"/>
    <s v="AZ"/>
  </r>
  <r>
    <x v="10"/>
    <n v="1165"/>
    <n v="9822"/>
    <x v="0"/>
    <n v="58.3"/>
    <n v="98.4"/>
    <n v="40.100000000000009"/>
    <n v="8.0200000000000014"/>
    <s v="Doug"/>
    <s v="Smith"/>
    <s v="AZ"/>
  </r>
  <r>
    <x v="10"/>
    <n v="1166"/>
    <n v="8722"/>
    <x v="3"/>
    <n v="344"/>
    <n v="502"/>
    <n v="158"/>
    <n v="31.6"/>
    <s v="Doug"/>
    <s v="Smith"/>
    <s v="NV"/>
  </r>
  <r>
    <x v="11"/>
    <n v="1167"/>
    <n v="2242"/>
    <x v="7"/>
    <n v="60"/>
    <n v="124"/>
    <n v="64"/>
    <n v="12.8"/>
    <s v="Doug"/>
    <s v="Smith"/>
    <s v="NM"/>
  </r>
  <r>
    <x v="11"/>
    <n v="1168"/>
    <n v="9822"/>
    <x v="0"/>
    <n v="58.3"/>
    <n v="98.4"/>
    <n v="40.100000000000009"/>
    <n v="8.0200000000000014"/>
    <s v="Doug"/>
    <s v="Smith"/>
    <s v="CA"/>
  </r>
  <r>
    <x v="11"/>
    <n v="1169"/>
    <n v="8722"/>
    <x v="3"/>
    <n v="344"/>
    <n v="502"/>
    <n v="158"/>
    <n v="31.6"/>
    <s v="Doug"/>
    <s v="Smith"/>
    <s v="UT"/>
  </r>
  <r>
    <x v="11"/>
    <n v="1170"/>
    <n v="4421"/>
    <x v="5"/>
    <n v="45"/>
    <n v="87"/>
    <n v="42"/>
    <n v="8.4"/>
    <s v="Chalie"/>
    <s v="Barns"/>
    <s v="CA"/>
  </r>
  <r>
    <x v="11"/>
    <n v="1171"/>
    <n v="4421"/>
    <x v="5"/>
    <n v="45"/>
    <n v="87"/>
    <n v="42"/>
    <n v="8.4"/>
    <s v="Juan"/>
    <s v="Hernandez"/>
    <s v="NV"/>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6">
  <r>
    <x v="0"/>
    <n v="1001"/>
    <n v="9822"/>
    <x v="0"/>
    <n v="58.3"/>
    <x v="0"/>
    <n v="40.100000000000009"/>
    <n v="8.0200000000000014"/>
    <s v="Chalie"/>
    <s v="Barns"/>
    <x v="0"/>
  </r>
  <r>
    <x v="0"/>
    <n v="1002"/>
    <n v="2877"/>
    <x v="1"/>
    <n v="11.4"/>
    <x v="1"/>
    <n v="4.9000000000000004"/>
    <n v="0.49000000000000005"/>
    <s v="Juan"/>
    <s v="Hernandez"/>
    <x v="1"/>
  </r>
  <r>
    <x v="0"/>
    <n v="1003"/>
    <n v="2499"/>
    <x v="2"/>
    <n v="6.2"/>
    <x v="2"/>
    <n v="2.9999999999999991"/>
    <n v="0.29999999999999993"/>
    <s v="Doug"/>
    <s v="Smith"/>
    <x v="2"/>
  </r>
  <r>
    <x v="0"/>
    <n v="1004"/>
    <n v="8722"/>
    <x v="3"/>
    <n v="344"/>
    <x v="3"/>
    <n v="158"/>
    <n v="31.6"/>
    <s v="Chalie"/>
    <s v="Barns"/>
    <x v="2"/>
  </r>
  <r>
    <x v="0"/>
    <n v="1005"/>
    <n v="1109"/>
    <x v="4"/>
    <n v="3"/>
    <x v="4"/>
    <n v="5"/>
    <n v="0.5"/>
    <s v="Doug"/>
    <s v="Smith"/>
    <x v="2"/>
  </r>
  <r>
    <x v="0"/>
    <n v="1006"/>
    <n v="9822"/>
    <x v="0"/>
    <n v="58.3"/>
    <x v="0"/>
    <n v="40.100000000000009"/>
    <n v="8.0200000000000014"/>
    <s v="Doug"/>
    <s v="Smith"/>
    <x v="2"/>
  </r>
  <r>
    <x v="0"/>
    <n v="1007"/>
    <n v="1109"/>
    <x v="4"/>
    <n v="3"/>
    <x v="4"/>
    <n v="5"/>
    <n v="0.5"/>
    <s v="Hellen"/>
    <s v="Johnson"/>
    <x v="0"/>
  </r>
  <r>
    <x v="0"/>
    <n v="1008"/>
    <n v="2877"/>
    <x v="1"/>
    <n v="11.4"/>
    <x v="1"/>
    <n v="4.9000000000000004"/>
    <n v="0.49000000000000005"/>
    <s v="Doug"/>
    <s v="Smith"/>
    <x v="0"/>
  </r>
  <r>
    <x v="0"/>
    <n v="1009"/>
    <n v="1109"/>
    <x v="4"/>
    <n v="3"/>
    <x v="4"/>
    <n v="5"/>
    <n v="0.5"/>
    <s v="Doug"/>
    <s v="Smith"/>
    <x v="2"/>
  </r>
  <r>
    <x v="0"/>
    <n v="1010"/>
    <n v="2877"/>
    <x v="1"/>
    <n v="11.4"/>
    <x v="1"/>
    <n v="4.9000000000000004"/>
    <n v="0.49000000000000005"/>
    <s v="Juan"/>
    <s v="Hernandez"/>
    <x v="3"/>
  </r>
  <r>
    <x v="0"/>
    <n v="1011"/>
    <n v="2877"/>
    <x v="1"/>
    <n v="11.4"/>
    <x v="1"/>
    <n v="4.9000000000000004"/>
    <n v="0.49000000000000005"/>
    <s v="Juan"/>
    <s v="Hernandez"/>
    <x v="2"/>
  </r>
  <r>
    <x v="0"/>
    <n v="1012"/>
    <n v="4421"/>
    <x v="5"/>
    <n v="45"/>
    <x v="5"/>
    <n v="42"/>
    <n v="8.4"/>
    <s v="Doug"/>
    <s v="Smith"/>
    <x v="0"/>
  </r>
  <r>
    <x v="0"/>
    <n v="1013"/>
    <n v="9212"/>
    <x v="6"/>
    <n v="4"/>
    <x v="6"/>
    <n v="3"/>
    <n v="0.30000000000000004"/>
    <s v="Hellen"/>
    <s v="Johnson"/>
    <x v="3"/>
  </r>
  <r>
    <x v="0"/>
    <n v="1014"/>
    <n v="8722"/>
    <x v="3"/>
    <n v="344"/>
    <x v="3"/>
    <n v="158"/>
    <n v="31.6"/>
    <s v="Chalie"/>
    <s v="Barns"/>
    <x v="1"/>
  </r>
  <r>
    <x v="0"/>
    <n v="1015"/>
    <n v="2877"/>
    <x v="1"/>
    <n v="11.4"/>
    <x v="1"/>
    <n v="4.9000000000000004"/>
    <n v="0.49000000000000005"/>
    <s v="Hellen"/>
    <s v="Johnson"/>
    <x v="2"/>
  </r>
  <r>
    <x v="0"/>
    <n v="1016"/>
    <n v="2499"/>
    <x v="2"/>
    <n v="6.2"/>
    <x v="2"/>
    <n v="2.9999999999999991"/>
    <n v="0.29999999999999993"/>
    <s v="Doug"/>
    <s v="Smith"/>
    <x v="1"/>
  </r>
  <r>
    <x v="1"/>
    <n v="1017"/>
    <n v="2242"/>
    <x v="7"/>
    <n v="60"/>
    <x v="7"/>
    <n v="64"/>
    <n v="12.8"/>
    <s v="Juan"/>
    <s v="Hernandez"/>
    <x v="0"/>
  </r>
  <r>
    <x v="1"/>
    <n v="1018"/>
    <n v="1109"/>
    <x v="4"/>
    <n v="3"/>
    <x v="4"/>
    <n v="5"/>
    <n v="0.5"/>
    <s v="Doug"/>
    <s v="Smith"/>
    <x v="1"/>
  </r>
  <r>
    <x v="1"/>
    <n v="1019"/>
    <n v="2499"/>
    <x v="2"/>
    <n v="6.2"/>
    <x v="2"/>
    <n v="2.9999999999999991"/>
    <n v="0.29999999999999993"/>
    <s v="Doug"/>
    <s v="Smith"/>
    <x v="3"/>
  </r>
  <r>
    <x v="1"/>
    <n v="1020"/>
    <n v="2499"/>
    <x v="2"/>
    <n v="6.2"/>
    <x v="2"/>
    <n v="2.9999999999999991"/>
    <n v="0.29999999999999993"/>
    <s v="Doug"/>
    <s v="Smith"/>
    <x v="4"/>
  </r>
  <r>
    <x v="1"/>
    <n v="1021"/>
    <n v="1109"/>
    <x v="4"/>
    <n v="3"/>
    <x v="4"/>
    <n v="5"/>
    <n v="0.5"/>
    <s v="Juan"/>
    <s v="Hernandez"/>
    <x v="3"/>
  </r>
  <r>
    <x v="1"/>
    <n v="1022"/>
    <n v="2877"/>
    <x v="1"/>
    <n v="11.4"/>
    <x v="1"/>
    <n v="4.9000000000000004"/>
    <n v="0.49000000000000005"/>
    <s v="Doug"/>
    <s v="Smith"/>
    <x v="5"/>
  </r>
  <r>
    <x v="1"/>
    <n v="1023"/>
    <n v="1109"/>
    <x v="4"/>
    <n v="3"/>
    <x v="4"/>
    <n v="5"/>
    <n v="0.5"/>
    <s v="Hellen"/>
    <s v="Johnson"/>
    <x v="0"/>
  </r>
  <r>
    <x v="1"/>
    <n v="1024"/>
    <n v="9212"/>
    <x v="6"/>
    <n v="4"/>
    <x v="6"/>
    <n v="3"/>
    <n v="0.30000000000000004"/>
    <s v="Juan"/>
    <s v="Hernandez"/>
    <x v="5"/>
  </r>
  <r>
    <x v="1"/>
    <n v="1025"/>
    <n v="2877"/>
    <x v="1"/>
    <n v="11.4"/>
    <x v="1"/>
    <n v="4.9000000000000004"/>
    <n v="0.49000000000000005"/>
    <s v="Hellen"/>
    <s v="Johnson"/>
    <x v="4"/>
  </r>
  <r>
    <x v="1"/>
    <n v="1026"/>
    <n v="6119"/>
    <x v="8"/>
    <n v="9"/>
    <x v="8"/>
    <n v="5"/>
    <n v="0.5"/>
    <s v="Hellen"/>
    <s v="Johnson"/>
    <x v="0"/>
  </r>
  <r>
    <x v="1"/>
    <n v="1027"/>
    <n v="6119"/>
    <x v="8"/>
    <n v="9"/>
    <x v="8"/>
    <n v="5"/>
    <n v="0.5"/>
    <s v="Chalie"/>
    <s v="Barns"/>
    <x v="4"/>
  </r>
  <r>
    <x v="1"/>
    <n v="1028"/>
    <n v="8722"/>
    <x v="3"/>
    <n v="344"/>
    <x v="3"/>
    <n v="158"/>
    <n v="31.6"/>
    <s v="Chalie"/>
    <s v="Barns"/>
    <x v="2"/>
  </r>
  <r>
    <x v="1"/>
    <n v="1029"/>
    <n v="2499"/>
    <x v="2"/>
    <n v="6.2"/>
    <x v="2"/>
    <n v="2.9999999999999991"/>
    <n v="0.29999999999999993"/>
    <s v="Juan"/>
    <s v="Hernandez"/>
    <x v="2"/>
  </r>
  <r>
    <x v="1"/>
    <n v="1030"/>
    <n v="4421"/>
    <x v="5"/>
    <n v="45"/>
    <x v="5"/>
    <n v="42"/>
    <n v="8.4"/>
    <s v="Juan"/>
    <s v="Hernandez"/>
    <x v="4"/>
  </r>
  <r>
    <x v="1"/>
    <n v="1031"/>
    <n v="1109"/>
    <x v="4"/>
    <n v="3"/>
    <x v="4"/>
    <n v="5"/>
    <n v="0.5"/>
    <s v="Juan"/>
    <s v="Hernandez"/>
    <x v="1"/>
  </r>
  <r>
    <x v="1"/>
    <n v="1032"/>
    <n v="2877"/>
    <x v="1"/>
    <n v="11.4"/>
    <x v="1"/>
    <n v="4.9000000000000004"/>
    <n v="0.49000000000000005"/>
    <s v="Chalie"/>
    <s v="Barns"/>
    <x v="2"/>
  </r>
  <r>
    <x v="1"/>
    <n v="1033"/>
    <n v="9822"/>
    <x v="0"/>
    <n v="58.3"/>
    <x v="0"/>
    <n v="40.100000000000009"/>
    <n v="8.0200000000000014"/>
    <s v="Juan"/>
    <s v="Hernandez"/>
    <x v="1"/>
  </r>
  <r>
    <x v="1"/>
    <n v="1034"/>
    <n v="2877"/>
    <x v="1"/>
    <n v="11.4"/>
    <x v="1"/>
    <n v="4.9000000000000004"/>
    <n v="0.49000000000000005"/>
    <s v="Juan"/>
    <s v="Hernandez"/>
    <x v="3"/>
  </r>
  <r>
    <x v="2"/>
    <n v="1035"/>
    <n v="2499"/>
    <x v="2"/>
    <n v="6.2"/>
    <x v="2"/>
    <n v="2.9999999999999991"/>
    <n v="0.29999999999999993"/>
    <s v="Hellen"/>
    <s v="Johnson"/>
    <x v="1"/>
  </r>
  <r>
    <x v="2"/>
    <n v="1036"/>
    <n v="2499"/>
    <x v="2"/>
    <n v="6.2"/>
    <x v="2"/>
    <n v="2.9999999999999991"/>
    <n v="0.29999999999999993"/>
    <s v="Juan"/>
    <s v="Hernandez"/>
    <x v="4"/>
  </r>
  <r>
    <x v="2"/>
    <n v="1037"/>
    <n v="6622"/>
    <x v="9"/>
    <n v="42"/>
    <x v="9"/>
    <n v="35"/>
    <n v="7"/>
    <s v="Juan"/>
    <s v="Hernandez"/>
    <x v="4"/>
  </r>
  <r>
    <x v="2"/>
    <n v="1038"/>
    <n v="2499"/>
    <x v="2"/>
    <n v="6.2"/>
    <x v="2"/>
    <n v="2.9999999999999991"/>
    <n v="0.29999999999999993"/>
    <s v="Juan"/>
    <s v="Hernandez"/>
    <x v="4"/>
  </r>
  <r>
    <x v="2"/>
    <n v="1039"/>
    <n v="2877"/>
    <x v="1"/>
    <n v="11.4"/>
    <x v="1"/>
    <n v="4.9000000000000004"/>
    <n v="0.49000000000000005"/>
    <s v="Juan"/>
    <s v="Hernandez"/>
    <x v="1"/>
  </r>
  <r>
    <x v="2"/>
    <n v="1040"/>
    <n v="1109"/>
    <x v="4"/>
    <n v="3"/>
    <x v="4"/>
    <n v="5"/>
    <n v="0.5"/>
    <s v="Juan"/>
    <s v="Hernandez"/>
    <x v="2"/>
  </r>
  <r>
    <x v="2"/>
    <n v="1041"/>
    <n v="2499"/>
    <x v="2"/>
    <n v="6.2"/>
    <x v="2"/>
    <n v="2.9999999999999991"/>
    <n v="0.29999999999999993"/>
    <s v="Chalie"/>
    <s v="Barns"/>
    <x v="0"/>
  </r>
  <r>
    <x v="2"/>
    <n v="1042"/>
    <n v="8722"/>
    <x v="3"/>
    <n v="344"/>
    <x v="3"/>
    <n v="158"/>
    <n v="31.6"/>
    <s v="Doug"/>
    <s v="Smith"/>
    <x v="0"/>
  </r>
  <r>
    <x v="2"/>
    <n v="1043"/>
    <n v="2242"/>
    <x v="7"/>
    <n v="60"/>
    <x v="7"/>
    <n v="64"/>
    <n v="12.8"/>
    <s v="Doug"/>
    <s v="Smith"/>
    <x v="1"/>
  </r>
  <r>
    <x v="2"/>
    <n v="1044"/>
    <n v="2877"/>
    <x v="1"/>
    <n v="11.4"/>
    <x v="1"/>
    <n v="4.9000000000000004"/>
    <n v="0.49000000000000005"/>
    <s v="Doug"/>
    <s v="Smith"/>
    <x v="1"/>
  </r>
  <r>
    <x v="2"/>
    <n v="1045"/>
    <n v="8722"/>
    <x v="3"/>
    <n v="344"/>
    <x v="3"/>
    <n v="158"/>
    <n v="31.6"/>
    <s v="Hellen"/>
    <s v="Johnson"/>
    <x v="2"/>
  </r>
  <r>
    <x v="2"/>
    <n v="1046"/>
    <n v="6119"/>
    <x v="8"/>
    <n v="9"/>
    <x v="8"/>
    <n v="5"/>
    <n v="0.5"/>
    <s v="Juan"/>
    <s v="Hernandez"/>
    <x v="5"/>
  </r>
  <r>
    <x v="2"/>
    <n v="1047"/>
    <n v="6622"/>
    <x v="9"/>
    <n v="42"/>
    <x v="9"/>
    <n v="35"/>
    <n v="7"/>
    <s v="Hellen"/>
    <s v="Johnson"/>
    <x v="2"/>
  </r>
  <r>
    <x v="2"/>
    <n v="1048"/>
    <n v="8722"/>
    <x v="3"/>
    <n v="344"/>
    <x v="3"/>
    <n v="158"/>
    <n v="31.6"/>
    <s v="Chalie"/>
    <s v="Barns"/>
    <x v="2"/>
  </r>
  <r>
    <x v="3"/>
    <n v="1049"/>
    <n v="2499"/>
    <x v="2"/>
    <n v="6.2"/>
    <x v="2"/>
    <n v="2.9999999999999991"/>
    <n v="0.29999999999999993"/>
    <s v="Chalie"/>
    <s v="Barns"/>
    <x v="3"/>
  </r>
  <r>
    <x v="3"/>
    <n v="1050"/>
    <n v="2877"/>
    <x v="1"/>
    <n v="11.4"/>
    <x v="1"/>
    <n v="4.9000000000000004"/>
    <n v="0.49000000000000005"/>
    <s v="Chalie"/>
    <s v="Barns"/>
    <x v="2"/>
  </r>
  <r>
    <x v="3"/>
    <n v="1051"/>
    <n v="6119"/>
    <x v="8"/>
    <n v="9"/>
    <x v="8"/>
    <n v="5"/>
    <n v="0.5"/>
    <s v="Doug"/>
    <s v="Smith"/>
    <x v="5"/>
  </r>
  <r>
    <x v="3"/>
    <n v="1052"/>
    <n v="6622"/>
    <x v="9"/>
    <n v="42"/>
    <x v="9"/>
    <n v="35"/>
    <n v="7"/>
    <s v="Doug"/>
    <s v="Smith"/>
    <x v="2"/>
  </r>
  <r>
    <x v="3"/>
    <n v="1053"/>
    <n v="2242"/>
    <x v="7"/>
    <n v="60"/>
    <x v="7"/>
    <n v="64"/>
    <n v="12.8"/>
    <s v="Chalie"/>
    <s v="Barns"/>
    <x v="1"/>
  </r>
  <r>
    <x v="3"/>
    <n v="1054"/>
    <n v="4421"/>
    <x v="5"/>
    <n v="45"/>
    <x v="5"/>
    <n v="42"/>
    <n v="8.4"/>
    <s v="Doug"/>
    <s v="Smith"/>
    <x v="4"/>
  </r>
  <r>
    <x v="3"/>
    <n v="1055"/>
    <n v="6119"/>
    <x v="8"/>
    <n v="9"/>
    <x v="8"/>
    <n v="5"/>
    <n v="0.5"/>
    <s v="Juan"/>
    <s v="Hernandez"/>
    <x v="4"/>
  </r>
  <r>
    <x v="3"/>
    <n v="1056"/>
    <n v="1109"/>
    <x v="4"/>
    <n v="3"/>
    <x v="4"/>
    <n v="5"/>
    <n v="0.5"/>
    <s v="Doug"/>
    <s v="Smith"/>
    <x v="1"/>
  </r>
  <r>
    <x v="3"/>
    <n v="1057"/>
    <n v="2499"/>
    <x v="2"/>
    <n v="6.2"/>
    <x v="2"/>
    <n v="2.9999999999999991"/>
    <n v="0.29999999999999993"/>
    <s v="Juan"/>
    <s v="Hernandez"/>
    <x v="1"/>
  </r>
  <r>
    <x v="3"/>
    <n v="1058"/>
    <n v="6119"/>
    <x v="8"/>
    <n v="9"/>
    <x v="8"/>
    <n v="5"/>
    <n v="0.5"/>
    <s v="Hellen"/>
    <s v="Johnson"/>
    <x v="2"/>
  </r>
  <r>
    <x v="3"/>
    <n v="1059"/>
    <n v="2242"/>
    <x v="7"/>
    <n v="60"/>
    <x v="7"/>
    <n v="64"/>
    <n v="12.8"/>
    <s v="Doug"/>
    <s v="Smith"/>
    <x v="2"/>
  </r>
  <r>
    <x v="3"/>
    <n v="1060"/>
    <n v="6119"/>
    <x v="8"/>
    <n v="9"/>
    <x v="8"/>
    <n v="5"/>
    <n v="0.5"/>
    <s v="Doug"/>
    <s v="Smith"/>
    <x v="4"/>
  </r>
  <r>
    <x v="4"/>
    <n v="1061"/>
    <n v="1109"/>
    <x v="4"/>
    <n v="3"/>
    <x v="4"/>
    <n v="5"/>
    <n v="0.5"/>
    <s v="Doug"/>
    <s v="Smith"/>
    <x v="4"/>
  </r>
  <r>
    <x v="4"/>
    <n v="1062"/>
    <n v="2499"/>
    <x v="2"/>
    <n v="6.2"/>
    <x v="2"/>
    <n v="2.9999999999999991"/>
    <n v="0.29999999999999993"/>
    <s v="Chalie"/>
    <s v="Barns"/>
    <x v="2"/>
  </r>
  <r>
    <x v="4"/>
    <n v="1063"/>
    <n v="1109"/>
    <x v="4"/>
    <n v="3"/>
    <x v="4"/>
    <n v="5"/>
    <n v="0.5"/>
    <s v="Doug"/>
    <s v="Smith"/>
    <x v="1"/>
  </r>
  <r>
    <x v="4"/>
    <n v="1064"/>
    <n v="2499"/>
    <x v="2"/>
    <n v="6.2"/>
    <x v="2"/>
    <n v="2.9999999999999991"/>
    <n v="0.29999999999999993"/>
    <s v="Hellen"/>
    <s v="Johnson"/>
    <x v="2"/>
  </r>
  <r>
    <x v="4"/>
    <n v="1065"/>
    <n v="2499"/>
    <x v="2"/>
    <n v="6.2"/>
    <x v="2"/>
    <n v="2.9999999999999991"/>
    <n v="0.29999999999999993"/>
    <s v="Doug"/>
    <s v="Smith"/>
    <x v="0"/>
  </r>
  <r>
    <x v="4"/>
    <n v="1066"/>
    <n v="2877"/>
    <x v="1"/>
    <n v="11.4"/>
    <x v="1"/>
    <n v="4.9000000000000004"/>
    <n v="0.49000000000000005"/>
    <s v="Doug"/>
    <s v="Smith"/>
    <x v="4"/>
  </r>
  <r>
    <x v="4"/>
    <n v="1067"/>
    <n v="2877"/>
    <x v="1"/>
    <n v="11.4"/>
    <x v="1"/>
    <n v="4.9000000000000004"/>
    <n v="0.49000000000000005"/>
    <s v="Doug"/>
    <s v="Smith"/>
    <x v="5"/>
  </r>
  <r>
    <x v="4"/>
    <n v="1068"/>
    <n v="6119"/>
    <x v="8"/>
    <n v="9"/>
    <x v="8"/>
    <n v="5"/>
    <n v="0.5"/>
    <s v="Juan"/>
    <s v="Hernandez"/>
    <x v="1"/>
  </r>
  <r>
    <x v="4"/>
    <n v="1069"/>
    <n v="1109"/>
    <x v="4"/>
    <n v="3"/>
    <x v="4"/>
    <n v="5"/>
    <n v="0.5"/>
    <s v="Doug"/>
    <s v="Smith"/>
    <x v="2"/>
  </r>
  <r>
    <x v="4"/>
    <n v="1070"/>
    <n v="2499"/>
    <x v="2"/>
    <n v="6.2"/>
    <x v="2"/>
    <n v="2.9999999999999991"/>
    <n v="0.29999999999999993"/>
    <s v="Hellen"/>
    <s v="Johnson"/>
    <x v="2"/>
  </r>
  <r>
    <x v="4"/>
    <n v="1071"/>
    <n v="1109"/>
    <x v="4"/>
    <n v="3"/>
    <x v="4"/>
    <n v="5"/>
    <n v="0.5"/>
    <s v="Chalie"/>
    <s v="Barns"/>
    <x v="2"/>
  </r>
  <r>
    <x v="4"/>
    <n v="1072"/>
    <n v="1109"/>
    <x v="4"/>
    <n v="3"/>
    <x v="4"/>
    <n v="5"/>
    <n v="0.5"/>
    <s v="Doug"/>
    <s v="Smith"/>
    <x v="4"/>
  </r>
  <r>
    <x v="4"/>
    <n v="1073"/>
    <n v="6622"/>
    <x v="9"/>
    <n v="42"/>
    <x v="9"/>
    <n v="35"/>
    <n v="7"/>
    <s v="Doug"/>
    <s v="Smith"/>
    <x v="1"/>
  </r>
  <r>
    <x v="4"/>
    <n v="1074"/>
    <n v="2877"/>
    <x v="1"/>
    <n v="11.4"/>
    <x v="1"/>
    <n v="4.9000000000000004"/>
    <n v="0.49000000000000005"/>
    <s v="Doug"/>
    <s v="Smith"/>
    <x v="2"/>
  </r>
  <r>
    <x v="4"/>
    <n v="1075"/>
    <n v="1109"/>
    <x v="4"/>
    <n v="3"/>
    <x v="4"/>
    <n v="5"/>
    <n v="0.5"/>
    <s v="Hellen"/>
    <s v="Johnson"/>
    <x v="1"/>
  </r>
  <r>
    <x v="4"/>
    <n v="1076"/>
    <n v="1109"/>
    <x v="4"/>
    <n v="3"/>
    <x v="4"/>
    <n v="5"/>
    <n v="0.5"/>
    <s v="Juan"/>
    <s v="Hernandez"/>
    <x v="2"/>
  </r>
  <r>
    <x v="4"/>
    <n v="1077"/>
    <n v="9822"/>
    <x v="0"/>
    <n v="58.3"/>
    <x v="0"/>
    <n v="40.100000000000009"/>
    <n v="8.0200000000000014"/>
    <s v="Hellen"/>
    <s v="Johnson"/>
    <x v="2"/>
  </r>
  <r>
    <x v="4"/>
    <n v="1078"/>
    <n v="2877"/>
    <x v="1"/>
    <n v="11.4"/>
    <x v="1"/>
    <n v="4.9000000000000004"/>
    <n v="0.49000000000000005"/>
    <s v="Juan"/>
    <s v="Hernandez"/>
    <x v="4"/>
  </r>
  <r>
    <x v="5"/>
    <n v="1079"/>
    <n v="2877"/>
    <x v="1"/>
    <n v="11.4"/>
    <x v="1"/>
    <n v="4.9000000000000004"/>
    <n v="0.49000000000000005"/>
    <s v="Juan"/>
    <s v="Hernandez"/>
    <x v="0"/>
  </r>
  <r>
    <x v="5"/>
    <n v="1080"/>
    <n v="4421"/>
    <x v="5"/>
    <n v="45"/>
    <x v="5"/>
    <n v="42"/>
    <n v="8.4"/>
    <s v="Doug"/>
    <s v="Smith"/>
    <x v="1"/>
  </r>
  <r>
    <x v="5"/>
    <n v="1081"/>
    <n v="6119"/>
    <x v="8"/>
    <n v="9"/>
    <x v="8"/>
    <n v="5"/>
    <n v="0.5"/>
    <s v="Doug"/>
    <s v="Smith"/>
    <x v="5"/>
  </r>
  <r>
    <x v="5"/>
    <n v="1082"/>
    <n v="1109"/>
    <x v="4"/>
    <n v="3"/>
    <x v="4"/>
    <n v="5"/>
    <n v="0.5"/>
    <s v="Chalie"/>
    <s v="Barns"/>
    <x v="1"/>
  </r>
  <r>
    <x v="5"/>
    <n v="1083"/>
    <n v="1109"/>
    <x v="4"/>
    <n v="3"/>
    <x v="4"/>
    <n v="5"/>
    <n v="0.5"/>
    <s v="Chalie"/>
    <s v="Barns"/>
    <x v="4"/>
  </r>
  <r>
    <x v="5"/>
    <n v="1084"/>
    <n v="6119"/>
    <x v="8"/>
    <n v="9"/>
    <x v="8"/>
    <n v="5"/>
    <n v="0.5"/>
    <s v="Chalie"/>
    <s v="Barns"/>
    <x v="2"/>
  </r>
  <r>
    <x v="5"/>
    <n v="1085"/>
    <n v="9822"/>
    <x v="0"/>
    <n v="58.3"/>
    <x v="0"/>
    <n v="40.100000000000009"/>
    <n v="8.0200000000000014"/>
    <s v="Doug"/>
    <s v="Smith"/>
    <x v="4"/>
  </r>
  <r>
    <x v="5"/>
    <n v="1086"/>
    <n v="1109"/>
    <x v="4"/>
    <n v="3"/>
    <x v="4"/>
    <n v="5"/>
    <n v="0.5"/>
    <s v="Hellen"/>
    <s v="Johnson"/>
    <x v="2"/>
  </r>
  <r>
    <x v="5"/>
    <n v="1087"/>
    <n v="2499"/>
    <x v="2"/>
    <n v="6.2"/>
    <x v="2"/>
    <n v="2.9999999999999991"/>
    <n v="0.29999999999999993"/>
    <s v="Chalie"/>
    <s v="Barns"/>
    <x v="1"/>
  </r>
  <r>
    <x v="5"/>
    <n v="1088"/>
    <n v="2499"/>
    <x v="2"/>
    <n v="6.2"/>
    <x v="2"/>
    <n v="2.9999999999999991"/>
    <n v="0.29999999999999993"/>
    <s v="Chalie"/>
    <s v="Barns"/>
    <x v="0"/>
  </r>
  <r>
    <x v="5"/>
    <n v="1089"/>
    <n v="6119"/>
    <x v="8"/>
    <n v="9"/>
    <x v="8"/>
    <n v="5"/>
    <n v="0.5"/>
    <s v="Doug"/>
    <s v="Smith"/>
    <x v="4"/>
  </r>
  <r>
    <x v="5"/>
    <n v="1090"/>
    <n v="2877"/>
    <x v="1"/>
    <n v="11.4"/>
    <x v="1"/>
    <n v="4.9000000000000004"/>
    <n v="0.49000000000000005"/>
    <s v="Chalie"/>
    <s v="Barns"/>
    <x v="1"/>
  </r>
  <r>
    <x v="5"/>
    <n v="1091"/>
    <n v="2877"/>
    <x v="1"/>
    <n v="11.4"/>
    <x v="1"/>
    <n v="4.9000000000000004"/>
    <n v="0.49000000000000005"/>
    <s v="Hellen"/>
    <s v="Johnson"/>
    <x v="4"/>
  </r>
  <r>
    <x v="5"/>
    <n v="1092"/>
    <n v="2877"/>
    <x v="1"/>
    <n v="11.4"/>
    <x v="1"/>
    <n v="4.9000000000000004"/>
    <n v="0.49000000000000005"/>
    <s v="Doug"/>
    <s v="Smith"/>
    <x v="1"/>
  </r>
  <r>
    <x v="5"/>
    <n v="1093"/>
    <n v="6119"/>
    <x v="8"/>
    <n v="9"/>
    <x v="8"/>
    <n v="5"/>
    <n v="0.5"/>
    <s v="Juan"/>
    <s v="Hernandez"/>
    <x v="2"/>
  </r>
  <r>
    <x v="5"/>
    <n v="1094"/>
    <n v="6119"/>
    <x v="8"/>
    <n v="9"/>
    <x v="8"/>
    <n v="5"/>
    <n v="0.5"/>
    <s v="Doug"/>
    <s v="Smith"/>
    <x v="1"/>
  </r>
  <r>
    <x v="5"/>
    <n v="1095"/>
    <n v="2499"/>
    <x v="2"/>
    <n v="6.2"/>
    <x v="2"/>
    <n v="2.9999999999999991"/>
    <n v="0.29999999999999993"/>
    <s v="Hellen"/>
    <s v="Johnson"/>
    <x v="2"/>
  </r>
  <r>
    <x v="5"/>
    <n v="1096"/>
    <n v="6119"/>
    <x v="8"/>
    <n v="9"/>
    <x v="8"/>
    <n v="5"/>
    <n v="0.5"/>
    <s v="Doug"/>
    <s v="Smith"/>
    <x v="2"/>
  </r>
  <r>
    <x v="5"/>
    <n v="1097"/>
    <n v="9212"/>
    <x v="6"/>
    <n v="4"/>
    <x v="6"/>
    <n v="3"/>
    <n v="0.30000000000000004"/>
    <s v="Hellen"/>
    <s v="Johnson"/>
    <x v="4"/>
  </r>
  <r>
    <x v="5"/>
    <n v="1098"/>
    <n v="2877"/>
    <x v="1"/>
    <n v="11.4"/>
    <x v="1"/>
    <n v="4.9000000000000004"/>
    <n v="0.49000000000000005"/>
    <s v="Juan"/>
    <s v="Hernandez"/>
    <x v="0"/>
  </r>
  <r>
    <x v="6"/>
    <n v="1099"/>
    <n v="2877"/>
    <x v="1"/>
    <n v="11.4"/>
    <x v="1"/>
    <n v="4.9000000000000004"/>
    <n v="0.49000000000000005"/>
    <s v="Doug"/>
    <s v="Smith"/>
    <x v="1"/>
  </r>
  <r>
    <x v="6"/>
    <n v="1100"/>
    <n v="6119"/>
    <x v="8"/>
    <n v="9"/>
    <x v="8"/>
    <n v="5"/>
    <n v="0.5"/>
    <s v="Chalie"/>
    <s v="Barns"/>
    <x v="5"/>
  </r>
  <r>
    <x v="6"/>
    <n v="1101"/>
    <n v="2499"/>
    <x v="2"/>
    <n v="6.2"/>
    <x v="2"/>
    <n v="2.9999999999999991"/>
    <n v="0.29999999999999993"/>
    <s v="Doug"/>
    <s v="Smith"/>
    <x v="1"/>
  </r>
  <r>
    <x v="6"/>
    <n v="1102"/>
    <n v="2242"/>
    <x v="7"/>
    <n v="60"/>
    <x v="7"/>
    <n v="64"/>
    <n v="12.8"/>
    <s v="Juan"/>
    <s v="Hernandez"/>
    <x v="4"/>
  </r>
  <r>
    <x v="6"/>
    <n v="1103"/>
    <n v="2877"/>
    <x v="1"/>
    <n v="11.4"/>
    <x v="1"/>
    <n v="4.9000000000000004"/>
    <n v="0.49000000000000005"/>
    <s v="Juan"/>
    <s v="Hernandez"/>
    <x v="2"/>
  </r>
  <r>
    <x v="6"/>
    <n v="1104"/>
    <n v="2877"/>
    <x v="1"/>
    <n v="11.4"/>
    <x v="1"/>
    <n v="4.9000000000000004"/>
    <n v="0.49000000000000005"/>
    <s v="Doug"/>
    <s v="Smith"/>
    <x v="4"/>
  </r>
  <r>
    <x v="6"/>
    <n v="1105"/>
    <n v="2499"/>
    <x v="2"/>
    <n v="6.2"/>
    <x v="2"/>
    <n v="2.9999999999999991"/>
    <n v="0.29999999999999993"/>
    <s v="Juan"/>
    <s v="Hernandez"/>
    <x v="2"/>
  </r>
  <r>
    <x v="6"/>
    <n v="1106"/>
    <n v="9822"/>
    <x v="0"/>
    <n v="58.3"/>
    <x v="0"/>
    <n v="40.100000000000009"/>
    <n v="8.0200000000000014"/>
    <s v="Juan"/>
    <s v="Hernandez"/>
    <x v="1"/>
  </r>
  <r>
    <x v="6"/>
    <n v="1107"/>
    <n v="1109"/>
    <x v="4"/>
    <n v="3"/>
    <x v="4"/>
    <n v="5"/>
    <n v="0.5"/>
    <s v="Hellen"/>
    <s v="Johnson"/>
    <x v="0"/>
  </r>
  <r>
    <x v="6"/>
    <n v="1108"/>
    <n v="9822"/>
    <x v="0"/>
    <n v="58.3"/>
    <x v="0"/>
    <n v="40.100000000000009"/>
    <n v="8.0200000000000014"/>
    <s v="Doug"/>
    <s v="Smith"/>
    <x v="4"/>
  </r>
  <r>
    <x v="6"/>
    <n v="1109"/>
    <n v="8722"/>
    <x v="3"/>
    <n v="344"/>
    <x v="3"/>
    <n v="158"/>
    <n v="31.6"/>
    <s v="Juan"/>
    <s v="Hernandez"/>
    <x v="1"/>
  </r>
  <r>
    <x v="6"/>
    <n v="1110"/>
    <n v="8722"/>
    <x v="3"/>
    <n v="344"/>
    <x v="3"/>
    <n v="158"/>
    <n v="31.6"/>
    <s v="Hellen"/>
    <s v="Johnson"/>
    <x v="4"/>
  </r>
  <r>
    <x v="6"/>
    <n v="1111"/>
    <n v="6622"/>
    <x v="9"/>
    <n v="42"/>
    <x v="9"/>
    <n v="35"/>
    <n v="7"/>
    <s v="Hellen"/>
    <s v="Johnson"/>
    <x v="1"/>
  </r>
  <r>
    <x v="6"/>
    <n v="1112"/>
    <n v="6622"/>
    <x v="9"/>
    <n v="42"/>
    <x v="9"/>
    <n v="35"/>
    <n v="7"/>
    <s v="Doug"/>
    <s v="Smith"/>
    <x v="2"/>
  </r>
  <r>
    <x v="6"/>
    <n v="1113"/>
    <n v="9822"/>
    <x v="0"/>
    <n v="58.3"/>
    <x v="0"/>
    <n v="40.100000000000009"/>
    <n v="8.0200000000000014"/>
    <s v="Chalie"/>
    <s v="Barns"/>
    <x v="1"/>
  </r>
  <r>
    <x v="6"/>
    <n v="1114"/>
    <n v="2242"/>
    <x v="7"/>
    <n v="60"/>
    <x v="7"/>
    <n v="64"/>
    <n v="12.8"/>
    <s v="Juan"/>
    <s v="Hernandez"/>
    <x v="2"/>
  </r>
  <r>
    <x v="6"/>
    <n v="1115"/>
    <n v="8722"/>
    <x v="3"/>
    <n v="344"/>
    <x v="3"/>
    <n v="158"/>
    <n v="31.6"/>
    <s v="Chalie"/>
    <s v="Barns"/>
    <x v="2"/>
  </r>
  <r>
    <x v="6"/>
    <n v="1116"/>
    <n v="6622"/>
    <x v="9"/>
    <n v="42"/>
    <x v="9"/>
    <n v="35"/>
    <n v="7"/>
    <s v="Doug"/>
    <s v="Smith"/>
    <x v="4"/>
  </r>
  <r>
    <x v="6"/>
    <n v="1117"/>
    <n v="8722"/>
    <x v="3"/>
    <n v="344"/>
    <x v="3"/>
    <n v="158"/>
    <n v="31.6"/>
    <s v="Hellen"/>
    <s v="Johnson"/>
    <x v="0"/>
  </r>
  <r>
    <x v="6"/>
    <n v="1118"/>
    <n v="9822"/>
    <x v="0"/>
    <n v="58.3"/>
    <x v="0"/>
    <n v="40.100000000000009"/>
    <n v="8.0200000000000014"/>
    <s v="Juan"/>
    <s v="Hernandez"/>
    <x v="1"/>
  </r>
  <r>
    <x v="6"/>
    <n v="1119"/>
    <n v="2242"/>
    <x v="7"/>
    <n v="60"/>
    <x v="7"/>
    <n v="64"/>
    <n v="12.8"/>
    <s v="Chalie"/>
    <s v="Barns"/>
    <x v="5"/>
  </r>
  <r>
    <x v="6"/>
    <n v="1120"/>
    <n v="2242"/>
    <x v="7"/>
    <n v="60"/>
    <x v="7"/>
    <n v="64"/>
    <n v="12.8"/>
    <s v="Doug"/>
    <s v="Smith"/>
    <x v="1"/>
  </r>
  <r>
    <x v="6"/>
    <n v="1121"/>
    <n v="4421"/>
    <x v="5"/>
    <n v="45"/>
    <x v="5"/>
    <n v="42"/>
    <n v="8.4"/>
    <s v="Doug"/>
    <s v="Smith"/>
    <x v="4"/>
  </r>
  <r>
    <x v="6"/>
    <n v="1122"/>
    <n v="8722"/>
    <x v="3"/>
    <n v="344"/>
    <x v="3"/>
    <n v="158"/>
    <n v="31.6"/>
    <s v="Doug"/>
    <s v="Smith"/>
    <x v="2"/>
  </r>
  <r>
    <x v="6"/>
    <n v="1123"/>
    <n v="9822"/>
    <x v="0"/>
    <n v="58.3"/>
    <x v="0"/>
    <n v="40.100000000000009"/>
    <n v="8.0200000000000014"/>
    <s v="Doug"/>
    <s v="Smith"/>
    <x v="4"/>
  </r>
  <r>
    <x v="6"/>
    <n v="1124"/>
    <n v="4421"/>
    <x v="5"/>
    <n v="45"/>
    <x v="5"/>
    <n v="42"/>
    <n v="8.4"/>
    <s v="Doug"/>
    <s v="Smith"/>
    <x v="2"/>
  </r>
  <r>
    <x v="7"/>
    <n v="1125"/>
    <n v="2242"/>
    <x v="7"/>
    <n v="60"/>
    <x v="7"/>
    <n v="64"/>
    <n v="12.8"/>
    <s v="Doug"/>
    <s v="Smith"/>
    <x v="1"/>
  </r>
  <r>
    <x v="7"/>
    <n v="1126"/>
    <n v="9212"/>
    <x v="6"/>
    <n v="4"/>
    <x v="6"/>
    <n v="3"/>
    <n v="0.30000000000000004"/>
    <s v="Doug"/>
    <s v="Smith"/>
    <x v="0"/>
  </r>
  <r>
    <x v="7"/>
    <n v="1127"/>
    <n v="8722"/>
    <x v="3"/>
    <n v="344"/>
    <x v="3"/>
    <n v="158"/>
    <n v="31.6"/>
    <s v="Chalie"/>
    <s v="Barns"/>
    <x v="4"/>
  </r>
  <r>
    <x v="7"/>
    <n v="1128"/>
    <n v="6622"/>
    <x v="9"/>
    <n v="42"/>
    <x v="9"/>
    <n v="35"/>
    <n v="7"/>
    <s v="Juan"/>
    <s v="Hernandez"/>
    <x v="1"/>
  </r>
  <r>
    <x v="7"/>
    <n v="1129"/>
    <n v="9822"/>
    <x v="0"/>
    <n v="58.3"/>
    <x v="0"/>
    <n v="40.100000000000009"/>
    <n v="8.0200000000000014"/>
    <s v="Hellen"/>
    <s v="Johnson"/>
    <x v="4"/>
  </r>
  <r>
    <x v="7"/>
    <n v="1130"/>
    <n v="4421"/>
    <x v="5"/>
    <n v="45"/>
    <x v="5"/>
    <n v="42"/>
    <n v="8.4"/>
    <s v="Hellen"/>
    <s v="Johnson"/>
    <x v="1"/>
  </r>
  <r>
    <x v="7"/>
    <n v="1131"/>
    <n v="9212"/>
    <x v="6"/>
    <n v="4"/>
    <x v="6"/>
    <n v="3"/>
    <n v="0.30000000000000004"/>
    <s v="Hellen"/>
    <s v="Johnson"/>
    <x v="2"/>
  </r>
  <r>
    <x v="7"/>
    <n v="1132"/>
    <n v="9212"/>
    <x v="6"/>
    <n v="4"/>
    <x v="6"/>
    <n v="3"/>
    <n v="0.30000000000000004"/>
    <s v="Hellen"/>
    <s v="Johnson"/>
    <x v="1"/>
  </r>
  <r>
    <x v="7"/>
    <n v="1133"/>
    <n v="9822"/>
    <x v="0"/>
    <n v="58.3"/>
    <x v="0"/>
    <n v="40.100000000000009"/>
    <n v="8.0200000000000014"/>
    <s v="Chalie"/>
    <s v="Barns"/>
    <x v="2"/>
  </r>
  <r>
    <x v="7"/>
    <n v="1134"/>
    <n v="9822"/>
    <x v="0"/>
    <n v="58.3"/>
    <x v="0"/>
    <n v="40.100000000000009"/>
    <n v="8.0200000000000014"/>
    <s v="Doug"/>
    <s v="Smith"/>
    <x v="2"/>
  </r>
  <r>
    <x v="7"/>
    <n v="1135"/>
    <n v="8722"/>
    <x v="3"/>
    <n v="344"/>
    <x v="3"/>
    <n v="158"/>
    <n v="31.6"/>
    <s v="Chalie"/>
    <s v="Barns"/>
    <x v="4"/>
  </r>
  <r>
    <x v="7"/>
    <n v="1136"/>
    <n v="2242"/>
    <x v="7"/>
    <n v="60"/>
    <x v="7"/>
    <n v="64"/>
    <n v="12.8"/>
    <s v="Doug"/>
    <s v="Smith"/>
    <x v="0"/>
  </r>
  <r>
    <x v="7"/>
    <n v="1137"/>
    <n v="9822"/>
    <x v="0"/>
    <n v="58.3"/>
    <x v="0"/>
    <n v="40.100000000000009"/>
    <n v="8.0200000000000014"/>
    <s v="Juan"/>
    <s v="Hernandez"/>
    <x v="1"/>
  </r>
  <r>
    <x v="7"/>
    <n v="1138"/>
    <n v="8722"/>
    <x v="3"/>
    <n v="344"/>
    <x v="3"/>
    <n v="158"/>
    <n v="31.6"/>
    <s v="Chalie"/>
    <s v="Barns"/>
    <x v="5"/>
  </r>
  <r>
    <x v="7"/>
    <n v="1139"/>
    <n v="4421"/>
    <x v="5"/>
    <n v="45"/>
    <x v="5"/>
    <n v="42"/>
    <n v="8.4"/>
    <s v="Doug"/>
    <s v="Smith"/>
    <x v="1"/>
  </r>
  <r>
    <x v="7"/>
    <n v="1140"/>
    <n v="4421"/>
    <x v="5"/>
    <n v="45"/>
    <x v="5"/>
    <n v="42"/>
    <n v="8.4"/>
    <s v="Juan"/>
    <s v="Hernandez"/>
    <x v="4"/>
  </r>
  <r>
    <x v="7"/>
    <n v="1141"/>
    <n v="9212"/>
    <x v="6"/>
    <n v="4"/>
    <x v="6"/>
    <n v="3"/>
    <n v="0.30000000000000004"/>
    <s v="Juan"/>
    <s v="Hernandez"/>
    <x v="2"/>
  </r>
  <r>
    <x v="8"/>
    <n v="1142"/>
    <n v="2242"/>
    <x v="7"/>
    <n v="60"/>
    <x v="7"/>
    <n v="64"/>
    <n v="12.8"/>
    <s v="Juan"/>
    <s v="Hernandez"/>
    <x v="4"/>
  </r>
  <r>
    <x v="8"/>
    <n v="1143"/>
    <n v="9822"/>
    <x v="0"/>
    <n v="58.3"/>
    <x v="0"/>
    <n v="40.100000000000009"/>
    <n v="8.0200000000000014"/>
    <s v="Hellen"/>
    <s v="Johnson"/>
    <x v="2"/>
  </r>
  <r>
    <x v="8"/>
    <n v="1144"/>
    <n v="2242"/>
    <x v="7"/>
    <n v="60"/>
    <x v="7"/>
    <n v="64"/>
    <n v="12.8"/>
    <s v="Hellen"/>
    <s v="Johnson"/>
    <x v="1"/>
  </r>
  <r>
    <x v="8"/>
    <n v="1145"/>
    <n v="4421"/>
    <x v="5"/>
    <n v="45"/>
    <x v="5"/>
    <n v="42"/>
    <n v="8.4"/>
    <s v="Hellen"/>
    <s v="Johnson"/>
    <x v="0"/>
  </r>
  <r>
    <x v="8"/>
    <n v="1146"/>
    <n v="8722"/>
    <x v="3"/>
    <n v="344"/>
    <x v="3"/>
    <n v="158"/>
    <n v="31.6"/>
    <s v="Hellen"/>
    <s v="Johnson"/>
    <x v="4"/>
  </r>
  <r>
    <x v="8"/>
    <n v="1147"/>
    <n v="9822"/>
    <x v="0"/>
    <n v="58.3"/>
    <x v="0"/>
    <n v="40.100000000000009"/>
    <n v="8.0200000000000014"/>
    <s v="Chalie"/>
    <s v="Barns"/>
    <x v="1"/>
  </r>
  <r>
    <x v="8"/>
    <n v="1148"/>
    <n v="9212"/>
    <x v="6"/>
    <n v="4"/>
    <x v="6"/>
    <n v="3"/>
    <n v="0.30000000000000004"/>
    <s v="Doug"/>
    <s v="Smith"/>
    <x v="2"/>
  </r>
  <r>
    <x v="8"/>
    <n v="1149"/>
    <n v="8722"/>
    <x v="3"/>
    <n v="344"/>
    <x v="3"/>
    <n v="158"/>
    <n v="31.6"/>
    <s v="Chalie"/>
    <s v="Barns"/>
    <x v="2"/>
  </r>
  <r>
    <x v="9"/>
    <n v="1150"/>
    <n v="2242"/>
    <x v="7"/>
    <n v="60"/>
    <x v="7"/>
    <n v="64"/>
    <n v="12.8"/>
    <s v="Doug"/>
    <s v="Smith"/>
    <x v="5"/>
  </r>
  <r>
    <x v="9"/>
    <n v="1151"/>
    <n v="2242"/>
    <x v="7"/>
    <n v="60"/>
    <x v="7"/>
    <n v="64"/>
    <n v="12.8"/>
    <s v="Juan"/>
    <s v="Hernandez"/>
    <x v="1"/>
  </r>
  <r>
    <x v="9"/>
    <n v="1152"/>
    <n v="4421"/>
    <x v="5"/>
    <n v="45"/>
    <x v="5"/>
    <n v="42"/>
    <n v="8.4"/>
    <s v="Chalie"/>
    <s v="Barns"/>
    <x v="4"/>
  </r>
  <r>
    <x v="9"/>
    <n v="1153"/>
    <n v="8722"/>
    <x v="3"/>
    <n v="344"/>
    <x v="3"/>
    <n v="158"/>
    <n v="31.6"/>
    <s v="Doug"/>
    <s v="Smith"/>
    <x v="2"/>
  </r>
  <r>
    <x v="9"/>
    <n v="1154"/>
    <n v="9822"/>
    <x v="0"/>
    <n v="58.3"/>
    <x v="0"/>
    <n v="40.100000000000009"/>
    <n v="8.0200000000000014"/>
    <s v="Juan"/>
    <s v="Hernandez"/>
    <x v="4"/>
  </r>
  <r>
    <x v="9"/>
    <n v="1155"/>
    <n v="4421"/>
    <x v="5"/>
    <n v="45"/>
    <x v="5"/>
    <n v="42"/>
    <n v="8.4"/>
    <s v="Doug"/>
    <s v="Smith"/>
    <x v="2"/>
  </r>
  <r>
    <x v="9"/>
    <n v="1156"/>
    <n v="2242"/>
    <x v="7"/>
    <n v="60"/>
    <x v="7"/>
    <n v="64"/>
    <n v="12.8"/>
    <s v="Doug"/>
    <s v="Smith"/>
    <x v="1"/>
  </r>
  <r>
    <x v="9"/>
    <n v="1157"/>
    <n v="9212"/>
    <x v="6"/>
    <n v="4"/>
    <x v="6"/>
    <n v="3"/>
    <n v="0.30000000000000004"/>
    <s v="Doug"/>
    <s v="Smith"/>
    <x v="0"/>
  </r>
  <r>
    <x v="10"/>
    <n v="1158"/>
    <n v="8722"/>
    <x v="3"/>
    <n v="344"/>
    <x v="3"/>
    <n v="158"/>
    <n v="31.6"/>
    <s v="Chalie"/>
    <s v="Barns"/>
    <x v="4"/>
  </r>
  <r>
    <x v="10"/>
    <n v="1159"/>
    <n v="6622"/>
    <x v="9"/>
    <n v="42"/>
    <x v="9"/>
    <n v="35"/>
    <n v="7"/>
    <s v="Doug"/>
    <s v="Smith"/>
    <x v="1"/>
  </r>
  <r>
    <x v="10"/>
    <n v="1160"/>
    <n v="9822"/>
    <x v="0"/>
    <n v="58.3"/>
    <x v="0"/>
    <n v="40.100000000000009"/>
    <n v="8.0200000000000014"/>
    <s v="Hellen"/>
    <s v="Johnson"/>
    <x v="4"/>
  </r>
  <r>
    <x v="10"/>
    <n v="1161"/>
    <n v="4421"/>
    <x v="5"/>
    <n v="45"/>
    <x v="5"/>
    <n v="42"/>
    <n v="8.4"/>
    <s v="Juan"/>
    <s v="Hernandez"/>
    <x v="1"/>
  </r>
  <r>
    <x v="10"/>
    <n v="1162"/>
    <n v="9212"/>
    <x v="6"/>
    <n v="4"/>
    <x v="6"/>
    <n v="3"/>
    <n v="0.30000000000000004"/>
    <s v="Chalie"/>
    <s v="Barns"/>
    <x v="2"/>
  </r>
  <r>
    <x v="10"/>
    <n v="1163"/>
    <n v="9212"/>
    <x v="6"/>
    <n v="4"/>
    <x v="6"/>
    <n v="3"/>
    <n v="0.30000000000000004"/>
    <s v="Doug"/>
    <s v="Smith"/>
    <x v="1"/>
  </r>
  <r>
    <x v="10"/>
    <n v="1164"/>
    <n v="9822"/>
    <x v="0"/>
    <n v="58.3"/>
    <x v="0"/>
    <n v="40.100000000000009"/>
    <n v="8.0200000000000014"/>
    <s v="Doug"/>
    <s v="Smith"/>
    <x v="2"/>
  </r>
  <r>
    <x v="10"/>
    <n v="1165"/>
    <n v="9822"/>
    <x v="0"/>
    <n v="58.3"/>
    <x v="0"/>
    <n v="40.100000000000009"/>
    <n v="8.0200000000000014"/>
    <s v="Doug"/>
    <s v="Smith"/>
    <x v="2"/>
  </r>
  <r>
    <x v="10"/>
    <n v="1166"/>
    <n v="8722"/>
    <x v="3"/>
    <n v="344"/>
    <x v="3"/>
    <n v="158"/>
    <n v="31.6"/>
    <s v="Doug"/>
    <s v="Smith"/>
    <x v="4"/>
  </r>
  <r>
    <x v="11"/>
    <n v="1167"/>
    <n v="2242"/>
    <x v="7"/>
    <n v="60"/>
    <x v="7"/>
    <n v="64"/>
    <n v="12.8"/>
    <s v="Doug"/>
    <s v="Smith"/>
    <x v="0"/>
  </r>
  <r>
    <x v="11"/>
    <n v="1168"/>
    <n v="9822"/>
    <x v="0"/>
    <n v="58.3"/>
    <x v="0"/>
    <n v="40.100000000000009"/>
    <n v="8.0200000000000014"/>
    <s v="Doug"/>
    <s v="Smith"/>
    <x v="1"/>
  </r>
  <r>
    <x v="11"/>
    <n v="1169"/>
    <n v="8722"/>
    <x v="3"/>
    <n v="344"/>
    <x v="3"/>
    <n v="158"/>
    <n v="31.6"/>
    <s v="Doug"/>
    <s v="Smith"/>
    <x v="5"/>
  </r>
  <r>
    <x v="11"/>
    <n v="1170"/>
    <n v="4421"/>
    <x v="5"/>
    <n v="45"/>
    <x v="5"/>
    <n v="42"/>
    <n v="8.4"/>
    <s v="Chalie"/>
    <s v="Barns"/>
    <x v="1"/>
  </r>
  <r>
    <x v="11"/>
    <n v="1171"/>
    <n v="4421"/>
    <x v="5"/>
    <n v="45"/>
    <x v="5"/>
    <n v="42"/>
    <n v="8.4"/>
    <s v="Juan"/>
    <s v="Hernandez"/>
    <x v="4"/>
  </r>
  <r>
    <x v="12"/>
    <m/>
    <m/>
    <x v="10"/>
    <m/>
    <x v="10"/>
    <m/>
    <m/>
    <m/>
    <m/>
    <x v="6"/>
  </r>
  <r>
    <x v="13"/>
    <m/>
    <m/>
    <x v="10"/>
    <m/>
    <x v="11"/>
    <m/>
    <m/>
    <m/>
    <m/>
    <x v="6"/>
  </r>
  <r>
    <x v="14"/>
    <m/>
    <m/>
    <x v="10"/>
    <m/>
    <x v="12"/>
    <m/>
    <m/>
    <m/>
    <m/>
    <x v="6"/>
  </r>
  <r>
    <x v="15"/>
    <m/>
    <m/>
    <x v="10"/>
    <m/>
    <x v="10"/>
    <n v="6356.7000000000025"/>
    <m/>
    <m/>
    <m/>
    <x v="6"/>
  </r>
  <r>
    <x v="15"/>
    <m/>
    <m/>
    <x v="10"/>
    <m/>
    <x v="13"/>
    <n v="0.37150655149439554"/>
    <m/>
    <m/>
    <m/>
    <x v="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
  <r>
    <x v="0"/>
    <n v="1001"/>
    <n v="9822"/>
    <x v="0"/>
    <n v="58.3"/>
    <n v="98.4"/>
    <x v="0"/>
    <n v="8.0200000000000014"/>
    <s v="Chalie"/>
    <s v="Barns"/>
    <s v="NM"/>
  </r>
  <r>
    <x v="0"/>
    <n v="1002"/>
    <n v="2877"/>
    <x v="1"/>
    <n v="11.4"/>
    <n v="16.3"/>
    <x v="1"/>
    <n v="0.49000000000000005"/>
    <s v="Juan"/>
    <s v="Hernandez"/>
    <s v="CA"/>
  </r>
  <r>
    <x v="0"/>
    <n v="1003"/>
    <n v="2499"/>
    <x v="2"/>
    <n v="6.2"/>
    <n v="9.1999999999999993"/>
    <x v="2"/>
    <n v="0.29999999999999993"/>
    <s v="Doug"/>
    <s v="Smith"/>
    <s v="AZ"/>
  </r>
  <r>
    <x v="0"/>
    <n v="1004"/>
    <n v="8722"/>
    <x v="3"/>
    <n v="344"/>
    <n v="502"/>
    <x v="3"/>
    <n v="31.6"/>
    <s v="Chalie"/>
    <s v="Barns"/>
    <s v="AZ"/>
  </r>
  <r>
    <x v="0"/>
    <n v="1005"/>
    <n v="1109"/>
    <x v="4"/>
    <n v="3"/>
    <n v="8"/>
    <x v="4"/>
    <n v="0.5"/>
    <s v="Doug"/>
    <s v="Smith"/>
    <s v="AZ"/>
  </r>
  <r>
    <x v="0"/>
    <n v="1006"/>
    <n v="9822"/>
    <x v="0"/>
    <n v="58.3"/>
    <n v="98.4"/>
    <x v="0"/>
    <n v="8.0200000000000014"/>
    <s v="Doug"/>
    <s v="Smith"/>
    <s v="AZ"/>
  </r>
  <r>
    <x v="0"/>
    <n v="1007"/>
    <n v="1109"/>
    <x v="4"/>
    <n v="3"/>
    <n v="8"/>
    <x v="4"/>
    <n v="0.5"/>
    <s v="Hellen"/>
    <s v="Johnson"/>
    <s v="NM"/>
  </r>
  <r>
    <x v="0"/>
    <n v="1008"/>
    <n v="2877"/>
    <x v="1"/>
    <n v="11.4"/>
    <n v="16.3"/>
    <x v="1"/>
    <n v="0.49000000000000005"/>
    <s v="Doug"/>
    <s v="Smith"/>
    <s v="NM"/>
  </r>
  <r>
    <x v="0"/>
    <n v="1009"/>
    <n v="1109"/>
    <x v="4"/>
    <n v="3"/>
    <n v="8"/>
    <x v="4"/>
    <n v="0.5"/>
    <s v="Doug"/>
    <s v="Smith"/>
    <s v="AZ"/>
  </r>
  <r>
    <x v="0"/>
    <n v="1010"/>
    <n v="2877"/>
    <x v="1"/>
    <n v="11.4"/>
    <n v="16.3"/>
    <x v="1"/>
    <n v="0.49000000000000005"/>
    <s v="Juan"/>
    <s v="Hernandez"/>
    <s v="CO"/>
  </r>
  <r>
    <x v="0"/>
    <n v="1011"/>
    <n v="2877"/>
    <x v="1"/>
    <n v="11.4"/>
    <n v="16.3"/>
    <x v="1"/>
    <n v="0.49000000000000005"/>
    <s v="Juan"/>
    <s v="Hernandez"/>
    <s v="AZ"/>
  </r>
  <r>
    <x v="0"/>
    <n v="1012"/>
    <n v="4421"/>
    <x v="5"/>
    <n v="45"/>
    <n v="87"/>
    <x v="5"/>
    <n v="8.4"/>
    <s v="Doug"/>
    <s v="Smith"/>
    <s v="NM"/>
  </r>
  <r>
    <x v="0"/>
    <n v="1013"/>
    <n v="9212"/>
    <x v="6"/>
    <n v="4"/>
    <n v="7"/>
    <x v="6"/>
    <n v="0.30000000000000004"/>
    <s v="Hellen"/>
    <s v="Johnson"/>
    <s v="CO"/>
  </r>
  <r>
    <x v="0"/>
    <n v="1014"/>
    <n v="8722"/>
    <x v="3"/>
    <n v="344"/>
    <n v="502"/>
    <x v="3"/>
    <n v="31.6"/>
    <s v="Chalie"/>
    <s v="Barns"/>
    <s v="CA"/>
  </r>
  <r>
    <x v="0"/>
    <n v="1015"/>
    <n v="2877"/>
    <x v="1"/>
    <n v="11.4"/>
    <n v="16.3"/>
    <x v="1"/>
    <n v="0.49000000000000005"/>
    <s v="Hellen"/>
    <s v="Johnson"/>
    <s v="AZ"/>
  </r>
  <r>
    <x v="1"/>
    <n v="1016"/>
    <n v="2499"/>
    <x v="2"/>
    <n v="6.2"/>
    <n v="9.1999999999999993"/>
    <x v="2"/>
    <n v="0.29999999999999993"/>
    <s v="Doug"/>
    <s v="Smith"/>
    <s v="CA"/>
  </r>
  <r>
    <x v="1"/>
    <n v="1017"/>
    <n v="2242"/>
    <x v="7"/>
    <n v="60"/>
    <n v="124"/>
    <x v="7"/>
    <n v="12.8"/>
    <s v="Juan"/>
    <s v="Hernandez"/>
    <s v="NM"/>
  </r>
  <r>
    <x v="1"/>
    <n v="1018"/>
    <n v="1109"/>
    <x v="4"/>
    <n v="3"/>
    <n v="8"/>
    <x v="4"/>
    <n v="0.5"/>
    <s v="Doug"/>
    <s v="Smith"/>
    <s v="CA"/>
  </r>
  <r>
    <x v="1"/>
    <n v="1019"/>
    <n v="2499"/>
    <x v="2"/>
    <n v="6.2"/>
    <n v="9.1999999999999993"/>
    <x v="2"/>
    <n v="0.29999999999999993"/>
    <s v="Doug"/>
    <s v="Smith"/>
    <s v="CO"/>
  </r>
  <r>
    <x v="1"/>
    <n v="1020"/>
    <n v="2499"/>
    <x v="2"/>
    <n v="6.2"/>
    <n v="9.1999999999999993"/>
    <x v="2"/>
    <n v="0.29999999999999993"/>
    <s v="Doug"/>
    <s v="Smith"/>
    <s v="NV"/>
  </r>
  <r>
    <x v="1"/>
    <n v="1021"/>
    <n v="1109"/>
    <x v="4"/>
    <n v="3"/>
    <n v="8"/>
    <x v="4"/>
    <n v="0.5"/>
    <s v="Juan"/>
    <s v="Hernandez"/>
    <s v="CO"/>
  </r>
  <r>
    <x v="1"/>
    <n v="1022"/>
    <n v="2877"/>
    <x v="1"/>
    <n v="11.4"/>
    <n v="16.3"/>
    <x v="1"/>
    <n v="0.49000000000000005"/>
    <s v="Doug"/>
    <s v="Smith"/>
    <s v="UT"/>
  </r>
  <r>
    <x v="1"/>
    <n v="1023"/>
    <n v="1109"/>
    <x v="4"/>
    <n v="3"/>
    <n v="8"/>
    <x v="4"/>
    <n v="0.5"/>
    <s v="Hellen"/>
    <s v="Johnson"/>
    <s v="NM"/>
  </r>
  <r>
    <x v="1"/>
    <n v="1024"/>
    <n v="9212"/>
    <x v="6"/>
    <n v="4"/>
    <n v="7"/>
    <x v="6"/>
    <n v="0.30000000000000004"/>
    <s v="Juan"/>
    <s v="Hernandez"/>
    <s v="UT"/>
  </r>
  <r>
    <x v="1"/>
    <n v="1025"/>
    <n v="2877"/>
    <x v="1"/>
    <n v="11.4"/>
    <n v="16.3"/>
    <x v="1"/>
    <n v="0.49000000000000005"/>
    <s v="Hellen"/>
    <s v="Johnson"/>
    <s v="NV"/>
  </r>
  <r>
    <x v="1"/>
    <n v="1026"/>
    <n v="6119"/>
    <x v="8"/>
    <n v="9"/>
    <n v="14"/>
    <x v="4"/>
    <n v="0.5"/>
    <s v="Hellen"/>
    <s v="Johnson"/>
    <s v="NM"/>
  </r>
  <r>
    <x v="1"/>
    <n v="1027"/>
    <n v="6119"/>
    <x v="8"/>
    <n v="9"/>
    <n v="14"/>
    <x v="4"/>
    <n v="0.5"/>
    <s v="Chalie"/>
    <s v="Barns"/>
    <s v="NV"/>
  </r>
  <r>
    <x v="1"/>
    <n v="1028"/>
    <n v="8722"/>
    <x v="3"/>
    <n v="344"/>
    <n v="502"/>
    <x v="3"/>
    <n v="31.6"/>
    <s v="Chalie"/>
    <s v="Barns"/>
    <s v="AZ"/>
  </r>
  <r>
    <x v="1"/>
    <n v="1029"/>
    <n v="2499"/>
    <x v="2"/>
    <n v="6.2"/>
    <n v="9.1999999999999993"/>
    <x v="2"/>
    <n v="0.29999999999999993"/>
    <s v="Juan"/>
    <s v="Hernandez"/>
    <s v="AZ"/>
  </r>
  <r>
    <x v="1"/>
    <n v="1030"/>
    <n v="4421"/>
    <x v="5"/>
    <n v="45"/>
    <n v="87"/>
    <x v="5"/>
    <n v="8.4"/>
    <s v="Juan"/>
    <s v="Hernandez"/>
    <s v="NV"/>
  </r>
  <r>
    <x v="2"/>
    <n v="1031"/>
    <n v="1109"/>
    <x v="4"/>
    <n v="3"/>
    <n v="8"/>
    <x v="4"/>
    <n v="0.5"/>
    <s v="Juan"/>
    <s v="Hernandez"/>
    <s v="CA"/>
  </r>
  <r>
    <x v="2"/>
    <n v="1032"/>
    <n v="2877"/>
    <x v="1"/>
    <n v="11.4"/>
    <n v="16.3"/>
    <x v="1"/>
    <n v="0.49000000000000005"/>
    <s v="Chalie"/>
    <s v="Barns"/>
    <s v="AZ"/>
  </r>
  <r>
    <x v="2"/>
    <n v="1033"/>
    <n v="9822"/>
    <x v="0"/>
    <n v="58.3"/>
    <n v="98.4"/>
    <x v="0"/>
    <n v="8.0200000000000014"/>
    <s v="Juan"/>
    <s v="Hernandez"/>
    <s v="CA"/>
  </r>
  <r>
    <x v="2"/>
    <n v="1034"/>
    <n v="2877"/>
    <x v="1"/>
    <n v="11.4"/>
    <n v="16.3"/>
    <x v="1"/>
    <n v="0.49000000000000005"/>
    <s v="Juan"/>
    <s v="Hernandez"/>
    <s v="CO"/>
  </r>
  <r>
    <x v="2"/>
    <n v="1035"/>
    <n v="2499"/>
    <x v="2"/>
    <n v="6.2"/>
    <n v="9.1999999999999993"/>
    <x v="2"/>
    <n v="0.29999999999999993"/>
    <s v="Hellen"/>
    <s v="Johnson"/>
    <s v="CA"/>
  </r>
  <r>
    <x v="2"/>
    <n v="1036"/>
    <n v="2499"/>
    <x v="2"/>
    <n v="6.2"/>
    <n v="9.1999999999999993"/>
    <x v="2"/>
    <n v="0.29999999999999993"/>
    <s v="Juan"/>
    <s v="Hernandez"/>
    <s v="NV"/>
  </r>
  <r>
    <x v="2"/>
    <n v="1037"/>
    <n v="6622"/>
    <x v="9"/>
    <n v="42"/>
    <n v="77"/>
    <x v="8"/>
    <n v="7"/>
    <s v="Juan"/>
    <s v="Hernandez"/>
    <s v="NV"/>
  </r>
  <r>
    <x v="2"/>
    <n v="1038"/>
    <n v="2499"/>
    <x v="2"/>
    <n v="6.2"/>
    <n v="9.1999999999999993"/>
    <x v="2"/>
    <n v="0.29999999999999993"/>
    <s v="Juan"/>
    <s v="Hernandez"/>
    <s v="NV"/>
  </r>
  <r>
    <x v="2"/>
    <n v="1039"/>
    <n v="2877"/>
    <x v="1"/>
    <n v="11.4"/>
    <n v="16.3"/>
    <x v="1"/>
    <n v="0.49000000000000005"/>
    <s v="Juan"/>
    <s v="Hernandez"/>
    <s v="CA"/>
  </r>
  <r>
    <x v="2"/>
    <n v="1040"/>
    <n v="1109"/>
    <x v="4"/>
    <n v="3"/>
    <n v="8"/>
    <x v="4"/>
    <n v="0.5"/>
    <s v="Juan"/>
    <s v="Hernandez"/>
    <s v="AZ"/>
  </r>
  <r>
    <x v="2"/>
    <n v="1041"/>
    <n v="2499"/>
    <x v="2"/>
    <n v="6.2"/>
    <n v="9.1999999999999993"/>
    <x v="2"/>
    <n v="0.29999999999999993"/>
    <s v="Chalie"/>
    <s v="Barns"/>
    <s v="NM"/>
  </r>
  <r>
    <x v="2"/>
    <n v="1042"/>
    <n v="8722"/>
    <x v="3"/>
    <n v="344"/>
    <n v="502"/>
    <x v="3"/>
    <n v="31.6"/>
    <s v="Doug"/>
    <s v="Smith"/>
    <s v="NM"/>
  </r>
  <r>
    <x v="2"/>
    <n v="1043"/>
    <n v="2242"/>
    <x v="7"/>
    <n v="60"/>
    <n v="124"/>
    <x v="7"/>
    <n v="12.8"/>
    <s v="Doug"/>
    <s v="Smith"/>
    <s v="CA"/>
  </r>
  <r>
    <x v="2"/>
    <n v="1044"/>
    <n v="2877"/>
    <x v="1"/>
    <n v="11.4"/>
    <n v="16.3"/>
    <x v="1"/>
    <n v="0.49000000000000005"/>
    <s v="Doug"/>
    <s v="Smith"/>
    <s v="CA"/>
  </r>
  <r>
    <x v="2"/>
    <n v="1045"/>
    <n v="8722"/>
    <x v="3"/>
    <n v="344"/>
    <n v="502"/>
    <x v="3"/>
    <n v="31.6"/>
    <s v="Hellen"/>
    <s v="Johnson"/>
    <s v="AZ"/>
  </r>
  <r>
    <x v="3"/>
    <n v="1046"/>
    <n v="6119"/>
    <x v="8"/>
    <n v="9"/>
    <n v="14"/>
    <x v="4"/>
    <n v="0.5"/>
    <s v="Juan"/>
    <s v="Hernandez"/>
    <s v="UT"/>
  </r>
  <r>
    <x v="3"/>
    <n v="1047"/>
    <n v="6622"/>
    <x v="9"/>
    <n v="42"/>
    <n v="77"/>
    <x v="8"/>
    <n v="7"/>
    <s v="Hellen"/>
    <s v="Johnson"/>
    <s v="AZ"/>
  </r>
  <r>
    <x v="3"/>
    <n v="1048"/>
    <n v="8722"/>
    <x v="3"/>
    <n v="344"/>
    <n v="502"/>
    <x v="3"/>
    <n v="31.6"/>
    <s v="Chalie"/>
    <s v="Barns"/>
    <s v="AZ"/>
  </r>
  <r>
    <x v="3"/>
    <n v="1049"/>
    <n v="2499"/>
    <x v="2"/>
    <n v="6.2"/>
    <n v="9.1999999999999993"/>
    <x v="2"/>
    <n v="0.29999999999999993"/>
    <s v="Chalie"/>
    <s v="Barns"/>
    <s v="CO"/>
  </r>
  <r>
    <x v="3"/>
    <n v="1050"/>
    <n v="2877"/>
    <x v="1"/>
    <n v="11.4"/>
    <n v="16.3"/>
    <x v="1"/>
    <n v="0.49000000000000005"/>
    <s v="Chalie"/>
    <s v="Barns"/>
    <s v="AZ"/>
  </r>
  <r>
    <x v="3"/>
    <n v="1051"/>
    <n v="6119"/>
    <x v="8"/>
    <n v="9"/>
    <n v="14"/>
    <x v="4"/>
    <n v="0.5"/>
    <s v="Doug"/>
    <s v="Smith"/>
    <s v="UT"/>
  </r>
  <r>
    <x v="3"/>
    <n v="1052"/>
    <n v="6622"/>
    <x v="9"/>
    <n v="42"/>
    <n v="77"/>
    <x v="8"/>
    <n v="7"/>
    <s v="Doug"/>
    <s v="Smith"/>
    <s v="AZ"/>
  </r>
  <r>
    <x v="3"/>
    <n v="1053"/>
    <n v="2242"/>
    <x v="7"/>
    <n v="60"/>
    <n v="124"/>
    <x v="7"/>
    <n v="12.8"/>
    <s v="Chalie"/>
    <s v="Barns"/>
    <s v="CA"/>
  </r>
  <r>
    <x v="3"/>
    <n v="1054"/>
    <n v="4421"/>
    <x v="5"/>
    <n v="45"/>
    <n v="87"/>
    <x v="5"/>
    <n v="8.4"/>
    <s v="Doug"/>
    <s v="Smith"/>
    <s v="NV"/>
  </r>
  <r>
    <x v="3"/>
    <n v="1055"/>
    <n v="6119"/>
    <x v="8"/>
    <n v="9"/>
    <n v="14"/>
    <x v="4"/>
    <n v="0.5"/>
    <s v="Juan"/>
    <s v="Hernandez"/>
    <s v="NV"/>
  </r>
  <r>
    <x v="3"/>
    <n v="1056"/>
    <n v="1109"/>
    <x v="4"/>
    <n v="3"/>
    <n v="8"/>
    <x v="4"/>
    <n v="0.5"/>
    <s v="Doug"/>
    <s v="Smith"/>
    <s v="CA"/>
  </r>
  <r>
    <x v="3"/>
    <n v="1057"/>
    <n v="2499"/>
    <x v="2"/>
    <n v="6.2"/>
    <n v="9.1999999999999993"/>
    <x v="2"/>
    <n v="0.29999999999999993"/>
    <s v="Juan"/>
    <s v="Hernandez"/>
    <s v="CA"/>
  </r>
  <r>
    <x v="3"/>
    <n v="1058"/>
    <n v="6119"/>
    <x v="8"/>
    <n v="9"/>
    <n v="14"/>
    <x v="4"/>
    <n v="0.5"/>
    <s v="Hellen"/>
    <s v="Johnson"/>
    <s v="AZ"/>
  </r>
  <r>
    <x v="3"/>
    <n v="1059"/>
    <n v="2242"/>
    <x v="7"/>
    <n v="60"/>
    <n v="124"/>
    <x v="7"/>
    <n v="12.8"/>
    <s v="Doug"/>
    <s v="Smith"/>
    <s v="AZ"/>
  </r>
  <r>
    <x v="4"/>
    <n v="1060"/>
    <n v="6119"/>
    <x v="8"/>
    <n v="9"/>
    <n v="14"/>
    <x v="4"/>
    <n v="0.5"/>
    <s v="Doug"/>
    <s v="Smith"/>
    <s v="NV"/>
  </r>
  <r>
    <x v="4"/>
    <n v="1061"/>
    <n v="1109"/>
    <x v="4"/>
    <n v="3"/>
    <n v="8"/>
    <x v="4"/>
    <n v="0.5"/>
    <s v="Doug"/>
    <s v="Smith"/>
    <s v="NV"/>
  </r>
  <r>
    <x v="4"/>
    <n v="1062"/>
    <n v="2499"/>
    <x v="2"/>
    <n v="6.2"/>
    <n v="9.1999999999999993"/>
    <x v="2"/>
    <n v="0.29999999999999993"/>
    <s v="Chalie"/>
    <s v="Barns"/>
    <s v="AZ"/>
  </r>
  <r>
    <x v="4"/>
    <n v="1063"/>
    <n v="1109"/>
    <x v="4"/>
    <n v="3"/>
    <n v="8"/>
    <x v="4"/>
    <n v="0.5"/>
    <s v="Doug"/>
    <s v="Smith"/>
    <s v="CA"/>
  </r>
  <r>
    <x v="4"/>
    <n v="1064"/>
    <n v="2499"/>
    <x v="2"/>
    <n v="6.2"/>
    <n v="9.1999999999999993"/>
    <x v="2"/>
    <n v="0.29999999999999993"/>
    <s v="Hellen"/>
    <s v="Johnson"/>
    <s v="AZ"/>
  </r>
  <r>
    <x v="4"/>
    <n v="1065"/>
    <n v="2499"/>
    <x v="2"/>
    <n v="6.2"/>
    <n v="9.1999999999999993"/>
    <x v="2"/>
    <n v="0.29999999999999993"/>
    <s v="Doug"/>
    <s v="Smith"/>
    <s v="NM"/>
  </r>
  <r>
    <x v="4"/>
    <n v="1066"/>
    <n v="2877"/>
    <x v="1"/>
    <n v="11.4"/>
    <n v="16.3"/>
    <x v="1"/>
    <n v="0.49000000000000005"/>
    <s v="Doug"/>
    <s v="Smith"/>
    <s v="NV"/>
  </r>
  <r>
    <x v="4"/>
    <n v="1067"/>
    <n v="2877"/>
    <x v="1"/>
    <n v="11.4"/>
    <n v="16.3"/>
    <x v="1"/>
    <n v="0.49000000000000005"/>
    <s v="Doug"/>
    <s v="Smith"/>
    <s v="UT"/>
  </r>
  <r>
    <x v="4"/>
    <n v="1068"/>
    <n v="6119"/>
    <x v="8"/>
    <n v="9"/>
    <n v="14"/>
    <x v="4"/>
    <n v="0.5"/>
    <s v="Juan"/>
    <s v="Hernandez"/>
    <s v="CA"/>
  </r>
  <r>
    <x v="4"/>
    <n v="1069"/>
    <n v="1109"/>
    <x v="4"/>
    <n v="3"/>
    <n v="8"/>
    <x v="4"/>
    <n v="0.5"/>
    <s v="Doug"/>
    <s v="Smith"/>
    <s v="AZ"/>
  </r>
  <r>
    <x v="4"/>
    <n v="1070"/>
    <n v="2499"/>
    <x v="2"/>
    <n v="6.2"/>
    <n v="9.1999999999999993"/>
    <x v="2"/>
    <n v="0.29999999999999993"/>
    <s v="Hellen"/>
    <s v="Johnson"/>
    <s v="AZ"/>
  </r>
  <r>
    <x v="4"/>
    <n v="1071"/>
    <n v="1109"/>
    <x v="4"/>
    <n v="3"/>
    <n v="8"/>
    <x v="4"/>
    <n v="0.5"/>
    <s v="Chalie"/>
    <s v="Barns"/>
    <s v="AZ"/>
  </r>
  <r>
    <x v="4"/>
    <n v="1072"/>
    <n v="1109"/>
    <x v="4"/>
    <n v="3"/>
    <n v="8"/>
    <x v="4"/>
    <n v="0.5"/>
    <s v="Doug"/>
    <s v="Smith"/>
    <s v="NV"/>
  </r>
  <r>
    <x v="4"/>
    <n v="1073"/>
    <n v="6622"/>
    <x v="9"/>
    <n v="42"/>
    <n v="77"/>
    <x v="8"/>
    <n v="7"/>
    <s v="Doug"/>
    <s v="Smith"/>
    <s v="CA"/>
  </r>
  <r>
    <x v="5"/>
    <n v="1074"/>
    <n v="2877"/>
    <x v="1"/>
    <n v="11.4"/>
    <n v="16.3"/>
    <x v="1"/>
    <n v="0.49000000000000005"/>
    <s v="Doug"/>
    <s v="Smith"/>
    <s v="AZ"/>
  </r>
  <r>
    <x v="5"/>
    <n v="1075"/>
    <n v="1109"/>
    <x v="4"/>
    <n v="3"/>
    <n v="8"/>
    <x v="4"/>
    <n v="0.5"/>
    <s v="Hellen"/>
    <s v="Johnson"/>
    <s v="CA"/>
  </r>
  <r>
    <x v="5"/>
    <n v="1076"/>
    <n v="1109"/>
    <x v="4"/>
    <n v="3"/>
    <n v="8"/>
    <x v="4"/>
    <n v="0.5"/>
    <s v="Juan"/>
    <s v="Hernandez"/>
    <s v="AZ"/>
  </r>
  <r>
    <x v="5"/>
    <n v="1077"/>
    <n v="9822"/>
    <x v="0"/>
    <n v="58.3"/>
    <n v="98.4"/>
    <x v="0"/>
    <n v="8.0200000000000014"/>
    <s v="Hellen"/>
    <s v="Johnson"/>
    <s v="AZ"/>
  </r>
  <r>
    <x v="5"/>
    <n v="1078"/>
    <n v="2877"/>
    <x v="1"/>
    <n v="11.4"/>
    <n v="16.3"/>
    <x v="1"/>
    <n v="0.49000000000000005"/>
    <s v="Juan"/>
    <s v="Hernandez"/>
    <s v="NV"/>
  </r>
  <r>
    <x v="5"/>
    <n v="1079"/>
    <n v="2877"/>
    <x v="1"/>
    <n v="11.4"/>
    <n v="16.3"/>
    <x v="1"/>
    <n v="0.49000000000000005"/>
    <s v="Juan"/>
    <s v="Hernandez"/>
    <s v="NM"/>
  </r>
  <r>
    <x v="5"/>
    <n v="1080"/>
    <n v="4421"/>
    <x v="5"/>
    <n v="45"/>
    <n v="87"/>
    <x v="5"/>
    <n v="8.4"/>
    <s v="Doug"/>
    <s v="Smith"/>
    <s v="CA"/>
  </r>
  <r>
    <x v="5"/>
    <n v="1081"/>
    <n v="6119"/>
    <x v="8"/>
    <n v="9"/>
    <n v="14"/>
    <x v="4"/>
    <n v="0.5"/>
    <s v="Doug"/>
    <s v="Smith"/>
    <s v="UT"/>
  </r>
  <r>
    <x v="5"/>
    <n v="1082"/>
    <n v="1109"/>
    <x v="4"/>
    <n v="3"/>
    <n v="8"/>
    <x v="4"/>
    <n v="0.5"/>
    <s v="Chalie"/>
    <s v="Barns"/>
    <s v="CA"/>
  </r>
  <r>
    <x v="5"/>
    <n v="1083"/>
    <n v="1109"/>
    <x v="4"/>
    <n v="3"/>
    <n v="8"/>
    <x v="4"/>
    <n v="0.5"/>
    <s v="Chalie"/>
    <s v="Barns"/>
    <s v="NV"/>
  </r>
  <r>
    <x v="5"/>
    <n v="1084"/>
    <n v="6119"/>
    <x v="8"/>
    <n v="9"/>
    <n v="14"/>
    <x v="4"/>
    <n v="0.5"/>
    <s v="Chalie"/>
    <s v="Barns"/>
    <s v="AZ"/>
  </r>
  <r>
    <x v="5"/>
    <n v="1085"/>
    <n v="9822"/>
    <x v="0"/>
    <n v="58.3"/>
    <n v="98.4"/>
    <x v="0"/>
    <n v="8.0200000000000014"/>
    <s v="Doug"/>
    <s v="Smith"/>
    <s v="NV"/>
  </r>
  <r>
    <x v="5"/>
    <n v="1086"/>
    <n v="1109"/>
    <x v="4"/>
    <n v="3"/>
    <n v="8"/>
    <x v="4"/>
    <n v="0.5"/>
    <s v="Hellen"/>
    <s v="Johnson"/>
    <s v="AZ"/>
  </r>
  <r>
    <x v="5"/>
    <n v="1087"/>
    <n v="2499"/>
    <x v="2"/>
    <n v="6.2"/>
    <n v="9.1999999999999993"/>
    <x v="2"/>
    <n v="0.29999999999999993"/>
    <s v="Chalie"/>
    <s v="Barns"/>
    <s v="CA"/>
  </r>
  <r>
    <x v="6"/>
    <n v="1088"/>
    <n v="2499"/>
    <x v="2"/>
    <n v="6.2"/>
    <n v="9.1999999999999993"/>
    <x v="2"/>
    <n v="0.29999999999999993"/>
    <s v="Chalie"/>
    <s v="Barns"/>
    <s v="NM"/>
  </r>
  <r>
    <x v="6"/>
    <n v="1089"/>
    <n v="6119"/>
    <x v="8"/>
    <n v="9"/>
    <n v="14"/>
    <x v="4"/>
    <n v="0.5"/>
    <s v="Doug"/>
    <s v="Smith"/>
    <s v="NV"/>
  </r>
  <r>
    <x v="6"/>
    <n v="1090"/>
    <n v="2877"/>
    <x v="1"/>
    <n v="11.4"/>
    <n v="16.3"/>
    <x v="1"/>
    <n v="0.49000000000000005"/>
    <s v="Chalie"/>
    <s v="Barns"/>
    <s v="CA"/>
  </r>
  <r>
    <x v="6"/>
    <n v="1091"/>
    <n v="2877"/>
    <x v="1"/>
    <n v="11.4"/>
    <n v="16.3"/>
    <x v="1"/>
    <n v="0.49000000000000005"/>
    <s v="Hellen"/>
    <s v="Johnson"/>
    <s v="NV"/>
  </r>
  <r>
    <x v="6"/>
    <n v="1092"/>
    <n v="2877"/>
    <x v="1"/>
    <n v="11.4"/>
    <n v="16.3"/>
    <x v="1"/>
    <n v="0.49000000000000005"/>
    <s v="Doug"/>
    <s v="Smith"/>
    <s v="CA"/>
  </r>
  <r>
    <x v="6"/>
    <n v="1093"/>
    <n v="6119"/>
    <x v="8"/>
    <n v="9"/>
    <n v="14"/>
    <x v="4"/>
    <n v="0.5"/>
    <s v="Juan"/>
    <s v="Hernandez"/>
    <s v="AZ"/>
  </r>
  <r>
    <x v="6"/>
    <n v="1094"/>
    <n v="6119"/>
    <x v="8"/>
    <n v="9"/>
    <n v="14"/>
    <x v="4"/>
    <n v="0.5"/>
    <s v="Doug"/>
    <s v="Smith"/>
    <s v="CA"/>
  </r>
  <r>
    <x v="6"/>
    <n v="1095"/>
    <n v="2499"/>
    <x v="2"/>
    <n v="6.2"/>
    <n v="9.1999999999999993"/>
    <x v="2"/>
    <n v="0.29999999999999993"/>
    <s v="Hellen"/>
    <s v="Johnson"/>
    <s v="AZ"/>
  </r>
  <r>
    <x v="6"/>
    <n v="1096"/>
    <n v="6119"/>
    <x v="8"/>
    <n v="9"/>
    <n v="14"/>
    <x v="4"/>
    <n v="0.5"/>
    <s v="Doug"/>
    <s v="Smith"/>
    <s v="AZ"/>
  </r>
  <r>
    <x v="6"/>
    <n v="1097"/>
    <n v="9212"/>
    <x v="6"/>
    <n v="4"/>
    <n v="7"/>
    <x v="6"/>
    <n v="0.30000000000000004"/>
    <s v="Hellen"/>
    <s v="Johnson"/>
    <s v="NV"/>
  </r>
  <r>
    <x v="6"/>
    <n v="1098"/>
    <n v="2877"/>
    <x v="1"/>
    <n v="11.4"/>
    <n v="16.3"/>
    <x v="1"/>
    <n v="0.49000000000000005"/>
    <s v="Juan"/>
    <s v="Hernandez"/>
    <s v="NM"/>
  </r>
  <r>
    <x v="6"/>
    <n v="1099"/>
    <n v="2877"/>
    <x v="1"/>
    <n v="11.4"/>
    <n v="16.3"/>
    <x v="1"/>
    <n v="0.49000000000000005"/>
    <s v="Doug"/>
    <s v="Smith"/>
    <s v="CA"/>
  </r>
  <r>
    <x v="6"/>
    <n v="1100"/>
    <n v="6119"/>
    <x v="8"/>
    <n v="9"/>
    <n v="14"/>
    <x v="4"/>
    <n v="0.5"/>
    <s v="Chalie"/>
    <s v="Barns"/>
    <s v="UT"/>
  </r>
  <r>
    <x v="6"/>
    <n v="1101"/>
    <n v="2499"/>
    <x v="2"/>
    <n v="6.2"/>
    <n v="9.1999999999999993"/>
    <x v="2"/>
    <n v="0.29999999999999993"/>
    <s v="Doug"/>
    <s v="Smith"/>
    <s v="CA"/>
  </r>
  <r>
    <x v="7"/>
    <n v="1102"/>
    <n v="2242"/>
    <x v="7"/>
    <n v="60"/>
    <n v="124"/>
    <x v="7"/>
    <n v="12.8"/>
    <s v="Juan"/>
    <s v="Hernandez"/>
    <s v="NV"/>
  </r>
  <r>
    <x v="7"/>
    <n v="1103"/>
    <n v="2877"/>
    <x v="1"/>
    <n v="11.4"/>
    <n v="16.3"/>
    <x v="1"/>
    <n v="0.49000000000000005"/>
    <s v="Juan"/>
    <s v="Hernandez"/>
    <s v="AZ"/>
  </r>
  <r>
    <x v="7"/>
    <n v="1104"/>
    <n v="2877"/>
    <x v="1"/>
    <n v="11.4"/>
    <n v="16.3"/>
    <x v="1"/>
    <n v="0.49000000000000005"/>
    <s v="Doug"/>
    <s v="Smith"/>
    <s v="NV"/>
  </r>
  <r>
    <x v="7"/>
    <n v="1105"/>
    <n v="2499"/>
    <x v="2"/>
    <n v="6.2"/>
    <n v="9.1999999999999993"/>
    <x v="2"/>
    <n v="0.29999999999999993"/>
    <s v="Juan"/>
    <s v="Hernandez"/>
    <s v="AZ"/>
  </r>
  <r>
    <x v="7"/>
    <n v="1106"/>
    <n v="9822"/>
    <x v="0"/>
    <n v="58.3"/>
    <n v="98.4"/>
    <x v="0"/>
    <n v="8.0200000000000014"/>
    <s v="Juan"/>
    <s v="Hernandez"/>
    <s v="CA"/>
  </r>
  <r>
    <x v="7"/>
    <n v="1107"/>
    <n v="1109"/>
    <x v="4"/>
    <n v="3"/>
    <n v="8"/>
    <x v="4"/>
    <n v="0.5"/>
    <s v="Hellen"/>
    <s v="Johnson"/>
    <s v="NM"/>
  </r>
  <r>
    <x v="7"/>
    <n v="1108"/>
    <n v="9822"/>
    <x v="0"/>
    <n v="58.3"/>
    <n v="98.4"/>
    <x v="0"/>
    <n v="8.0200000000000014"/>
    <s v="Doug"/>
    <s v="Smith"/>
    <s v="NV"/>
  </r>
  <r>
    <x v="7"/>
    <n v="1109"/>
    <n v="8722"/>
    <x v="3"/>
    <n v="344"/>
    <n v="502"/>
    <x v="3"/>
    <n v="31.6"/>
    <s v="Juan"/>
    <s v="Hernandez"/>
    <s v="CA"/>
  </r>
  <r>
    <x v="7"/>
    <n v="1110"/>
    <n v="8722"/>
    <x v="3"/>
    <n v="344"/>
    <n v="502"/>
    <x v="3"/>
    <n v="31.6"/>
    <s v="Hellen"/>
    <s v="Johnson"/>
    <s v="NV"/>
  </r>
  <r>
    <x v="7"/>
    <n v="1111"/>
    <n v="6622"/>
    <x v="9"/>
    <n v="42"/>
    <n v="77"/>
    <x v="8"/>
    <n v="7"/>
    <s v="Hellen"/>
    <s v="Johnson"/>
    <s v="CA"/>
  </r>
  <r>
    <x v="7"/>
    <n v="1112"/>
    <n v="6622"/>
    <x v="9"/>
    <n v="42"/>
    <n v="77"/>
    <x v="8"/>
    <n v="7"/>
    <s v="Doug"/>
    <s v="Smith"/>
    <s v="AZ"/>
  </r>
  <r>
    <x v="7"/>
    <n v="1113"/>
    <n v="9822"/>
    <x v="0"/>
    <n v="58.3"/>
    <n v="98.4"/>
    <x v="0"/>
    <n v="8.0200000000000014"/>
    <s v="Chalie"/>
    <s v="Barns"/>
    <s v="CA"/>
  </r>
  <r>
    <x v="7"/>
    <n v="1114"/>
    <n v="2242"/>
    <x v="7"/>
    <n v="60"/>
    <n v="124"/>
    <x v="7"/>
    <n v="12.8"/>
    <s v="Juan"/>
    <s v="Hernandez"/>
    <s v="AZ"/>
  </r>
  <r>
    <x v="7"/>
    <n v="1115"/>
    <n v="8722"/>
    <x v="3"/>
    <n v="344"/>
    <n v="502"/>
    <x v="3"/>
    <n v="31.6"/>
    <s v="Chalie"/>
    <s v="Barns"/>
    <s v="AZ"/>
  </r>
  <r>
    <x v="8"/>
    <n v="1116"/>
    <n v="6622"/>
    <x v="9"/>
    <n v="42"/>
    <n v="77"/>
    <x v="8"/>
    <n v="7"/>
    <s v="Doug"/>
    <s v="Smith"/>
    <s v="NV"/>
  </r>
  <r>
    <x v="8"/>
    <n v="1117"/>
    <n v="8722"/>
    <x v="3"/>
    <n v="344"/>
    <n v="502"/>
    <x v="3"/>
    <n v="31.6"/>
    <s v="Hellen"/>
    <s v="Johnson"/>
    <s v="NM"/>
  </r>
  <r>
    <x v="8"/>
    <n v="1118"/>
    <n v="9822"/>
    <x v="0"/>
    <n v="58.3"/>
    <n v="98.4"/>
    <x v="0"/>
    <n v="8.0200000000000014"/>
    <s v="Juan"/>
    <s v="Hernandez"/>
    <s v="CA"/>
  </r>
  <r>
    <x v="8"/>
    <n v="1119"/>
    <n v="2242"/>
    <x v="7"/>
    <n v="60"/>
    <n v="124"/>
    <x v="7"/>
    <n v="12.8"/>
    <s v="Chalie"/>
    <s v="Barns"/>
    <s v="UT"/>
  </r>
  <r>
    <x v="8"/>
    <n v="1120"/>
    <n v="2242"/>
    <x v="7"/>
    <n v="60"/>
    <n v="124"/>
    <x v="7"/>
    <n v="12.8"/>
    <s v="Doug"/>
    <s v="Smith"/>
    <s v="CA"/>
  </r>
  <r>
    <x v="8"/>
    <n v="1121"/>
    <n v="4421"/>
    <x v="5"/>
    <n v="45"/>
    <n v="87"/>
    <x v="5"/>
    <n v="8.4"/>
    <s v="Doug"/>
    <s v="Smith"/>
    <s v="NV"/>
  </r>
  <r>
    <x v="8"/>
    <n v="1122"/>
    <n v="8722"/>
    <x v="3"/>
    <n v="344"/>
    <n v="502"/>
    <x v="3"/>
    <n v="31.6"/>
    <s v="Doug"/>
    <s v="Smith"/>
    <s v="AZ"/>
  </r>
  <r>
    <x v="8"/>
    <n v="1123"/>
    <n v="9822"/>
    <x v="0"/>
    <n v="58.3"/>
    <n v="98.4"/>
    <x v="0"/>
    <n v="8.0200000000000014"/>
    <s v="Doug"/>
    <s v="Smith"/>
    <s v="NV"/>
  </r>
  <r>
    <x v="8"/>
    <n v="1124"/>
    <n v="4421"/>
    <x v="5"/>
    <n v="45"/>
    <n v="87"/>
    <x v="5"/>
    <n v="8.4"/>
    <s v="Doug"/>
    <s v="Smith"/>
    <s v="AZ"/>
  </r>
  <r>
    <x v="8"/>
    <n v="1125"/>
    <n v="2242"/>
    <x v="7"/>
    <n v="60"/>
    <n v="124"/>
    <x v="7"/>
    <n v="12.8"/>
    <s v="Doug"/>
    <s v="Smith"/>
    <s v="CA"/>
  </r>
  <r>
    <x v="8"/>
    <n v="1126"/>
    <n v="9212"/>
    <x v="6"/>
    <n v="4"/>
    <n v="7"/>
    <x v="6"/>
    <n v="0.30000000000000004"/>
    <s v="Doug"/>
    <s v="Smith"/>
    <s v="NM"/>
  </r>
  <r>
    <x v="8"/>
    <n v="1127"/>
    <n v="8722"/>
    <x v="3"/>
    <n v="344"/>
    <n v="502"/>
    <x v="3"/>
    <n v="31.6"/>
    <s v="Chalie"/>
    <s v="Barns"/>
    <s v="NV"/>
  </r>
  <r>
    <x v="8"/>
    <n v="1128"/>
    <n v="6622"/>
    <x v="9"/>
    <n v="42"/>
    <n v="77"/>
    <x v="8"/>
    <n v="7"/>
    <s v="Juan"/>
    <s v="Hernandez"/>
    <s v="CA"/>
  </r>
  <r>
    <x v="8"/>
    <n v="1129"/>
    <n v="9822"/>
    <x v="0"/>
    <n v="58.3"/>
    <n v="98.4"/>
    <x v="0"/>
    <n v="8.0200000000000014"/>
    <s v="Hellen"/>
    <s v="Johnson"/>
    <s v="NV"/>
  </r>
  <r>
    <x v="9"/>
    <n v="1130"/>
    <n v="4421"/>
    <x v="5"/>
    <n v="45"/>
    <n v="87"/>
    <x v="5"/>
    <n v="8.4"/>
    <s v="Hellen"/>
    <s v="Johnson"/>
    <s v="CA"/>
  </r>
  <r>
    <x v="9"/>
    <n v="1131"/>
    <n v="9212"/>
    <x v="6"/>
    <n v="4"/>
    <n v="7"/>
    <x v="6"/>
    <n v="0.30000000000000004"/>
    <s v="Hellen"/>
    <s v="Johnson"/>
    <s v="AZ"/>
  </r>
  <r>
    <x v="9"/>
    <n v="1132"/>
    <n v="9212"/>
    <x v="6"/>
    <n v="4"/>
    <n v="7"/>
    <x v="6"/>
    <n v="0.30000000000000004"/>
    <s v="Hellen"/>
    <s v="Johnson"/>
    <s v="CA"/>
  </r>
  <r>
    <x v="9"/>
    <n v="1133"/>
    <n v="9822"/>
    <x v="0"/>
    <n v="58.3"/>
    <n v="98.4"/>
    <x v="0"/>
    <n v="8.0200000000000014"/>
    <s v="Chalie"/>
    <s v="Barns"/>
    <s v="AZ"/>
  </r>
  <r>
    <x v="9"/>
    <n v="1134"/>
    <n v="9822"/>
    <x v="0"/>
    <n v="58.3"/>
    <n v="98.4"/>
    <x v="0"/>
    <n v="8.0200000000000014"/>
    <s v="Doug"/>
    <s v="Smith"/>
    <s v="AZ"/>
  </r>
  <r>
    <x v="9"/>
    <n v="1135"/>
    <n v="8722"/>
    <x v="3"/>
    <n v="344"/>
    <n v="502"/>
    <x v="3"/>
    <n v="31.6"/>
    <s v="Chalie"/>
    <s v="Barns"/>
    <s v="NV"/>
  </r>
  <r>
    <x v="9"/>
    <n v="1136"/>
    <n v="2242"/>
    <x v="7"/>
    <n v="60"/>
    <n v="124"/>
    <x v="7"/>
    <n v="12.8"/>
    <s v="Doug"/>
    <s v="Smith"/>
    <s v="NM"/>
  </r>
  <r>
    <x v="9"/>
    <n v="1137"/>
    <n v="9822"/>
    <x v="0"/>
    <n v="58.3"/>
    <n v="98.4"/>
    <x v="0"/>
    <n v="8.0200000000000014"/>
    <s v="Juan"/>
    <s v="Hernandez"/>
    <s v="CA"/>
  </r>
  <r>
    <x v="9"/>
    <n v="1138"/>
    <n v="8722"/>
    <x v="3"/>
    <n v="344"/>
    <n v="502"/>
    <x v="3"/>
    <n v="31.6"/>
    <s v="Chalie"/>
    <s v="Barns"/>
    <s v="UT"/>
  </r>
  <r>
    <x v="9"/>
    <n v="1139"/>
    <n v="4421"/>
    <x v="5"/>
    <n v="45"/>
    <n v="87"/>
    <x v="5"/>
    <n v="8.4"/>
    <s v="Doug"/>
    <s v="Smith"/>
    <s v="CA"/>
  </r>
  <r>
    <x v="9"/>
    <n v="1140"/>
    <n v="4421"/>
    <x v="5"/>
    <n v="45"/>
    <n v="87"/>
    <x v="5"/>
    <n v="8.4"/>
    <s v="Juan"/>
    <s v="Hernandez"/>
    <s v="NV"/>
  </r>
  <r>
    <x v="9"/>
    <n v="1141"/>
    <n v="9212"/>
    <x v="6"/>
    <n v="4"/>
    <n v="7"/>
    <x v="6"/>
    <n v="0.30000000000000004"/>
    <s v="Juan"/>
    <s v="Hernandez"/>
    <s v="AZ"/>
  </r>
  <r>
    <x v="9"/>
    <n v="1142"/>
    <n v="2242"/>
    <x v="7"/>
    <n v="60"/>
    <n v="124"/>
    <x v="7"/>
    <n v="12.8"/>
    <s v="Juan"/>
    <s v="Hernandez"/>
    <s v="NV"/>
  </r>
  <r>
    <x v="9"/>
    <n v="1143"/>
    <n v="9822"/>
    <x v="0"/>
    <n v="58.3"/>
    <n v="98.4"/>
    <x v="0"/>
    <n v="8.0200000000000014"/>
    <s v="Hellen"/>
    <s v="Johnson"/>
    <s v="AZ"/>
  </r>
  <r>
    <x v="10"/>
    <n v="1144"/>
    <n v="2242"/>
    <x v="7"/>
    <n v="60"/>
    <n v="124"/>
    <x v="7"/>
    <n v="12.8"/>
    <s v="Hellen"/>
    <s v="Johnson"/>
    <s v="CA"/>
  </r>
  <r>
    <x v="10"/>
    <n v="1145"/>
    <n v="4421"/>
    <x v="5"/>
    <n v="45"/>
    <n v="87"/>
    <x v="5"/>
    <n v="8.4"/>
    <s v="Hellen"/>
    <s v="Johnson"/>
    <s v="NM"/>
  </r>
  <r>
    <x v="10"/>
    <n v="1146"/>
    <n v="8722"/>
    <x v="3"/>
    <n v="344"/>
    <n v="502"/>
    <x v="3"/>
    <n v="31.6"/>
    <s v="Hellen"/>
    <s v="Johnson"/>
    <s v="NV"/>
  </r>
  <r>
    <x v="10"/>
    <n v="1147"/>
    <n v="9822"/>
    <x v="0"/>
    <n v="58.3"/>
    <n v="98.4"/>
    <x v="0"/>
    <n v="8.0200000000000014"/>
    <s v="Chalie"/>
    <s v="Barns"/>
    <s v="CA"/>
  </r>
  <r>
    <x v="10"/>
    <n v="1148"/>
    <n v="9212"/>
    <x v="6"/>
    <n v="4"/>
    <n v="7"/>
    <x v="6"/>
    <n v="0.30000000000000004"/>
    <s v="Doug"/>
    <s v="Smith"/>
    <s v="AZ"/>
  </r>
  <r>
    <x v="10"/>
    <n v="1149"/>
    <n v="8722"/>
    <x v="3"/>
    <n v="344"/>
    <n v="502"/>
    <x v="3"/>
    <n v="31.6"/>
    <s v="Chalie"/>
    <s v="Barns"/>
    <s v="AZ"/>
  </r>
  <r>
    <x v="10"/>
    <n v="1150"/>
    <n v="2242"/>
    <x v="7"/>
    <n v="60"/>
    <n v="124"/>
    <x v="7"/>
    <n v="12.8"/>
    <s v="Doug"/>
    <s v="Smith"/>
    <s v="UT"/>
  </r>
  <r>
    <x v="10"/>
    <n v="1151"/>
    <n v="2242"/>
    <x v="7"/>
    <n v="60"/>
    <n v="124"/>
    <x v="7"/>
    <n v="12.8"/>
    <s v="Juan"/>
    <s v="Hernandez"/>
    <s v="CA"/>
  </r>
  <r>
    <x v="10"/>
    <n v="1152"/>
    <n v="4421"/>
    <x v="5"/>
    <n v="45"/>
    <n v="87"/>
    <x v="5"/>
    <n v="8.4"/>
    <s v="Chalie"/>
    <s v="Barns"/>
    <s v="NV"/>
  </r>
  <r>
    <x v="10"/>
    <n v="1153"/>
    <n v="8722"/>
    <x v="3"/>
    <n v="344"/>
    <n v="502"/>
    <x v="3"/>
    <n v="31.6"/>
    <s v="Doug"/>
    <s v="Smith"/>
    <s v="AZ"/>
  </r>
  <r>
    <x v="10"/>
    <n v="1154"/>
    <n v="9822"/>
    <x v="0"/>
    <n v="58.3"/>
    <n v="98.4"/>
    <x v="0"/>
    <n v="8.0200000000000014"/>
    <s v="Juan"/>
    <s v="Hernandez"/>
    <s v="NV"/>
  </r>
  <r>
    <x v="10"/>
    <n v="1155"/>
    <n v="4421"/>
    <x v="5"/>
    <n v="45"/>
    <n v="87"/>
    <x v="5"/>
    <n v="8.4"/>
    <s v="Doug"/>
    <s v="Smith"/>
    <s v="AZ"/>
  </r>
  <r>
    <x v="10"/>
    <n v="1156"/>
    <n v="2242"/>
    <x v="7"/>
    <n v="60"/>
    <n v="124"/>
    <x v="7"/>
    <n v="12.8"/>
    <s v="Doug"/>
    <s v="Smith"/>
    <s v="CA"/>
  </r>
  <r>
    <x v="10"/>
    <n v="1157"/>
    <n v="9212"/>
    <x v="6"/>
    <n v="4"/>
    <n v="7"/>
    <x v="6"/>
    <n v="0.30000000000000004"/>
    <s v="Doug"/>
    <s v="Smith"/>
    <s v="NM"/>
  </r>
  <r>
    <x v="11"/>
    <n v="1158"/>
    <n v="8722"/>
    <x v="3"/>
    <n v="344"/>
    <n v="502"/>
    <x v="3"/>
    <n v="31.6"/>
    <s v="Chalie"/>
    <s v="Barns"/>
    <s v="NV"/>
  </r>
  <r>
    <x v="11"/>
    <n v="1159"/>
    <n v="6622"/>
    <x v="9"/>
    <n v="42"/>
    <n v="77"/>
    <x v="8"/>
    <n v="7"/>
    <s v="Doug"/>
    <s v="Smith"/>
    <s v="CA"/>
  </r>
  <r>
    <x v="11"/>
    <n v="1160"/>
    <n v="9822"/>
    <x v="0"/>
    <n v="58.3"/>
    <n v="98.4"/>
    <x v="0"/>
    <n v="8.0200000000000014"/>
    <s v="Hellen"/>
    <s v="Johnson"/>
    <s v="NV"/>
  </r>
  <r>
    <x v="11"/>
    <n v="1161"/>
    <n v="4421"/>
    <x v="5"/>
    <n v="45"/>
    <n v="87"/>
    <x v="5"/>
    <n v="8.4"/>
    <s v="Juan"/>
    <s v="Hernandez"/>
    <s v="CA"/>
  </r>
  <r>
    <x v="11"/>
    <n v="1162"/>
    <n v="9212"/>
    <x v="6"/>
    <n v="4"/>
    <n v="7"/>
    <x v="6"/>
    <n v="0.30000000000000004"/>
    <s v="Chalie"/>
    <s v="Barns"/>
    <s v="AZ"/>
  </r>
  <r>
    <x v="11"/>
    <n v="1163"/>
    <n v="9212"/>
    <x v="6"/>
    <n v="4"/>
    <n v="7"/>
    <x v="6"/>
    <n v="0.30000000000000004"/>
    <s v="Doug"/>
    <s v="Smith"/>
    <s v="CA"/>
  </r>
  <r>
    <x v="11"/>
    <n v="1164"/>
    <n v="9822"/>
    <x v="0"/>
    <n v="58.3"/>
    <n v="98.4"/>
    <x v="0"/>
    <n v="8.0200000000000014"/>
    <s v="Doug"/>
    <s v="Smith"/>
    <s v="AZ"/>
  </r>
  <r>
    <x v="11"/>
    <n v="1165"/>
    <n v="9822"/>
    <x v="0"/>
    <n v="58.3"/>
    <n v="98.4"/>
    <x v="0"/>
    <n v="8.0200000000000014"/>
    <s v="Doug"/>
    <s v="Smith"/>
    <s v="AZ"/>
  </r>
  <r>
    <x v="11"/>
    <n v="1166"/>
    <n v="8722"/>
    <x v="3"/>
    <n v="344"/>
    <n v="502"/>
    <x v="3"/>
    <n v="31.6"/>
    <s v="Doug"/>
    <s v="Smith"/>
    <s v="NV"/>
  </r>
  <r>
    <x v="11"/>
    <n v="1167"/>
    <n v="2242"/>
    <x v="7"/>
    <n v="60"/>
    <n v="124"/>
    <x v="7"/>
    <n v="12.8"/>
    <s v="Doug"/>
    <s v="Smith"/>
    <s v="NM"/>
  </r>
  <r>
    <x v="11"/>
    <n v="1168"/>
    <n v="9822"/>
    <x v="0"/>
    <n v="58.3"/>
    <n v="98.4"/>
    <x v="0"/>
    <n v="8.0200000000000014"/>
    <s v="Doug"/>
    <s v="Smith"/>
    <s v="CA"/>
  </r>
  <r>
    <x v="11"/>
    <n v="1169"/>
    <n v="8722"/>
    <x v="3"/>
    <n v="344"/>
    <n v="502"/>
    <x v="3"/>
    <n v="31.6"/>
    <s v="Doug"/>
    <s v="Smith"/>
    <s v="UT"/>
  </r>
  <r>
    <x v="11"/>
    <n v="1170"/>
    <n v="4421"/>
    <x v="5"/>
    <n v="45"/>
    <n v="87"/>
    <x v="5"/>
    <n v="8.4"/>
    <s v="Chalie"/>
    <s v="Barns"/>
    <s v="CA"/>
  </r>
  <r>
    <x v="11"/>
    <n v="1171"/>
    <n v="4421"/>
    <x v="5"/>
    <n v="45"/>
    <n v="87"/>
    <x v="5"/>
    <n v="8.4"/>
    <s v="Juan"/>
    <s v="Hernandez"/>
    <s v="N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2EC0C0-1926-4FE5-B1EE-1D9D1514F838}"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6:B43" firstHeaderRow="1" firstDataRow="1" firstDataCol="1"/>
  <pivotFields count="11">
    <pivotField showAll="0">
      <items count="17">
        <item x="0"/>
        <item x="1"/>
        <item x="2"/>
        <item x="3"/>
        <item x="4"/>
        <item x="5"/>
        <item x="6"/>
        <item x="7"/>
        <item x="9"/>
        <item x="10"/>
        <item x="11"/>
        <item x="8"/>
        <item h="1" x="12"/>
        <item h="1" x="14"/>
        <item h="1" x="13"/>
        <item h="1" x="15"/>
        <item t="default"/>
      </items>
    </pivotField>
    <pivotField showAll="0"/>
    <pivotField showAll="0"/>
    <pivotField showAll="0">
      <items count="12">
        <item x="6"/>
        <item x="9"/>
        <item x="2"/>
        <item x="8"/>
        <item x="7"/>
        <item x="4"/>
        <item x="1"/>
        <item x="0"/>
        <item x="5"/>
        <item x="3"/>
        <item x="10"/>
        <item t="default"/>
      </items>
    </pivotField>
    <pivotField showAll="0"/>
    <pivotField showAll="0">
      <items count="15">
        <item x="6"/>
        <item x="4"/>
        <item x="2"/>
        <item x="8"/>
        <item x="1"/>
        <item x="9"/>
        <item x="5"/>
        <item x="0"/>
        <item x="7"/>
        <item x="3"/>
        <item x="12"/>
        <item x="11"/>
        <item x="10"/>
        <item x="13"/>
        <item t="default"/>
      </items>
    </pivotField>
    <pivotField dataField="1" showAll="0"/>
    <pivotField showAll="0"/>
    <pivotField showAll="0"/>
    <pivotField showAll="0"/>
    <pivotField axis="axisRow" showAll="0">
      <items count="8">
        <item x="2"/>
        <item x="1"/>
        <item x="3"/>
        <item x="0"/>
        <item x="4"/>
        <item x="5"/>
        <item h="1" x="6"/>
        <item t="default"/>
      </items>
    </pivotField>
  </pivotFields>
  <rowFields count="1">
    <field x="10"/>
  </rowFields>
  <rowItems count="7">
    <i>
      <x/>
    </i>
    <i>
      <x v="1"/>
    </i>
    <i>
      <x v="2"/>
    </i>
    <i>
      <x v="3"/>
    </i>
    <i>
      <x v="4"/>
    </i>
    <i>
      <x v="5"/>
    </i>
    <i t="grand">
      <x/>
    </i>
  </rowItems>
  <colItems count="1">
    <i/>
  </colItems>
  <dataFields count="1">
    <dataField name="Sum of Profit" fld="6" baseField="0" baseItem="0"/>
  </dataFields>
  <formats count="7">
    <format dxfId="6">
      <pivotArea collapsedLevelsAreSubtotals="1" fieldPosition="0">
        <references count="1">
          <reference field="10" count="1">
            <x v="0"/>
          </reference>
        </references>
      </pivotArea>
    </format>
    <format dxfId="5">
      <pivotArea collapsedLevelsAreSubtotals="1" fieldPosition="0">
        <references count="1">
          <reference field="10" count="1">
            <x v="1"/>
          </reference>
        </references>
      </pivotArea>
    </format>
    <format dxfId="4">
      <pivotArea collapsedLevelsAreSubtotals="1" fieldPosition="0">
        <references count="1">
          <reference field="10" count="1">
            <x v="2"/>
          </reference>
        </references>
      </pivotArea>
    </format>
    <format dxfId="3">
      <pivotArea collapsedLevelsAreSubtotals="1" fieldPosition="0">
        <references count="1">
          <reference field="10" count="1">
            <x v="3"/>
          </reference>
        </references>
      </pivotArea>
    </format>
    <format dxfId="2">
      <pivotArea collapsedLevelsAreSubtotals="1" fieldPosition="0">
        <references count="1">
          <reference field="10" count="1">
            <x v="4"/>
          </reference>
        </references>
      </pivotArea>
    </format>
    <format dxfId="1">
      <pivotArea collapsedLevelsAreSubtotals="1" fieldPosition="0">
        <references count="1">
          <reference field="10" count="1">
            <x v="5"/>
          </reference>
        </references>
      </pivotArea>
    </format>
    <format dxfId="0">
      <pivotArea grandRow="1" outline="0" collapsedLevelsAreSubtotals="1" fieldPosition="0"/>
    </format>
  </formats>
  <chartFormats count="1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0" count="1" selected="0">
            <x v="0"/>
          </reference>
        </references>
      </pivotArea>
    </chartFormat>
    <chartFormat chart="3" format="2">
      <pivotArea type="data" outline="0" fieldPosition="0">
        <references count="2">
          <reference field="4294967294" count="1" selected="0">
            <x v="0"/>
          </reference>
          <reference field="10" count="1" selected="0">
            <x v="4"/>
          </reference>
        </references>
      </pivotArea>
    </chartFormat>
    <chartFormat chart="3" format="3">
      <pivotArea type="data" outline="0" fieldPosition="0">
        <references count="2">
          <reference field="4294967294" count="1" selected="0">
            <x v="0"/>
          </reference>
          <reference field="10" count="1" selected="0">
            <x v="1"/>
          </reference>
        </references>
      </pivotArea>
    </chartFormat>
    <chartFormat chart="3" format="4">
      <pivotArea type="data" outline="0" fieldPosition="0">
        <references count="2">
          <reference field="4294967294" count="1" selected="0">
            <x v="0"/>
          </reference>
          <reference field="10" count="1" selected="0">
            <x v="5"/>
          </reference>
        </references>
      </pivotArea>
    </chartFormat>
    <chartFormat chart="3" format="5">
      <pivotArea type="data" outline="0" fieldPosition="0">
        <references count="2">
          <reference field="4294967294" count="1" selected="0">
            <x v="0"/>
          </reference>
          <reference field="10" count="1" selected="0">
            <x v="3"/>
          </reference>
        </references>
      </pivotArea>
    </chartFormat>
    <chartFormat chart="3" format="6">
      <pivotArea type="data" outline="0" fieldPosition="0">
        <references count="2">
          <reference field="4294967294" count="1" selected="0">
            <x v="0"/>
          </reference>
          <reference field="10" count="1" selected="0">
            <x v="2"/>
          </reference>
        </references>
      </pivotArea>
    </chartFormat>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10" count="1" selected="0">
            <x v="0"/>
          </reference>
        </references>
      </pivotArea>
    </chartFormat>
    <chartFormat chart="6" format="16">
      <pivotArea type="data" outline="0" fieldPosition="0">
        <references count="2">
          <reference field="4294967294" count="1" selected="0">
            <x v="0"/>
          </reference>
          <reference field="10" count="1" selected="0">
            <x v="1"/>
          </reference>
        </references>
      </pivotArea>
    </chartFormat>
    <chartFormat chart="6" format="17">
      <pivotArea type="data" outline="0" fieldPosition="0">
        <references count="2">
          <reference field="4294967294" count="1" selected="0">
            <x v="0"/>
          </reference>
          <reference field="10" count="1" selected="0">
            <x v="2"/>
          </reference>
        </references>
      </pivotArea>
    </chartFormat>
    <chartFormat chart="6" format="18">
      <pivotArea type="data" outline="0" fieldPosition="0">
        <references count="2">
          <reference field="4294967294" count="1" selected="0">
            <x v="0"/>
          </reference>
          <reference field="10" count="1" selected="0">
            <x v="3"/>
          </reference>
        </references>
      </pivotArea>
    </chartFormat>
    <chartFormat chart="6" format="19">
      <pivotArea type="data" outline="0" fieldPosition="0">
        <references count="2">
          <reference field="4294967294" count="1" selected="0">
            <x v="0"/>
          </reference>
          <reference field="10" count="1" selected="0">
            <x v="4"/>
          </reference>
        </references>
      </pivotArea>
    </chartFormat>
    <chartFormat chart="6" format="20">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C03DA4-DAFE-4402-9D17-A01772224C81}"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0:B83" firstHeaderRow="1" firstDataRow="1" firstDataCol="1"/>
  <pivotFields count="11">
    <pivotField axis="axisRow" showAll="0">
      <items count="13">
        <item x="0"/>
        <item x="1"/>
        <item x="2"/>
        <item x="3"/>
        <item x="4"/>
        <item x="5"/>
        <item x="6"/>
        <item x="7"/>
        <item x="8"/>
        <item x="9"/>
        <item x="10"/>
        <item x="11"/>
        <item t="default"/>
      </items>
    </pivotField>
    <pivotField numFmtId="164" showAll="0"/>
    <pivotField showAll="0"/>
    <pivotField showAll="0">
      <items count="11">
        <item x="6"/>
        <item x="9"/>
        <item x="2"/>
        <item x="8"/>
        <item x="7"/>
        <item x="4"/>
        <item x="1"/>
        <item x="0"/>
        <item x="5"/>
        <item x="3"/>
        <item t="default"/>
      </items>
    </pivotField>
    <pivotField numFmtId="44" showAll="0"/>
    <pivotField dataField="1" numFmtId="44" showAll="0"/>
    <pivotField numFmtId="44" showAll="0"/>
    <pivotField numFmtId="44" showAll="0"/>
    <pivotField showAll="0"/>
    <pivotField showAll="0"/>
    <pivotField showAll="0"/>
  </pivotFields>
  <rowFields count="1">
    <field x="0"/>
  </rowFields>
  <rowItems count="13">
    <i>
      <x/>
    </i>
    <i>
      <x v="1"/>
    </i>
    <i>
      <x v="2"/>
    </i>
    <i>
      <x v="3"/>
    </i>
    <i>
      <x v="4"/>
    </i>
    <i>
      <x v="5"/>
    </i>
    <i>
      <x v="6"/>
    </i>
    <i>
      <x v="7"/>
    </i>
    <i>
      <x v="8"/>
    </i>
    <i>
      <x v="9"/>
    </i>
    <i>
      <x v="10"/>
    </i>
    <i>
      <x v="11"/>
    </i>
    <i t="grand">
      <x/>
    </i>
  </rowItems>
  <colItems count="1">
    <i/>
  </colItems>
  <dataFields count="1">
    <dataField name="Sum of Sale Pric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EB7085-6EDC-4E36-8CEB-13D4856A8A15}"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fieldListSortAscending="1">
  <location ref="A62:B68" firstHeaderRow="1" firstDataRow="1" firstDataCol="1"/>
  <pivotFields count="11">
    <pivotField showAll="0">
      <items count="13">
        <item x="0"/>
        <item x="1"/>
        <item x="2"/>
        <item x="3"/>
        <item x="4"/>
        <item x="5"/>
        <item x="6"/>
        <item x="7"/>
        <item x="8"/>
        <item x="9"/>
        <item x="10"/>
        <item x="11"/>
        <item t="default"/>
      </items>
    </pivotField>
    <pivotField numFmtId="164" showAll="0"/>
    <pivotField showAll="0"/>
    <pivotField axis="axisRow" showAll="0" measureFilter="1" sortType="descending">
      <items count="11">
        <item x="3"/>
        <item x="5"/>
        <item x="0"/>
        <item x="1"/>
        <item x="4"/>
        <item x="7"/>
        <item x="8"/>
        <item x="2"/>
        <item x="9"/>
        <item x="6"/>
        <item t="default"/>
      </items>
    </pivotField>
    <pivotField numFmtId="44" showAll="0"/>
    <pivotField dataField="1" numFmtId="44" showAll="0"/>
    <pivotField numFmtId="44" showAll="0"/>
    <pivotField numFmtId="44" showAll="0"/>
    <pivotField showAll="0"/>
    <pivotField showAll="0"/>
    <pivotField showAll="0"/>
  </pivotFields>
  <rowFields count="1">
    <field x="3"/>
  </rowFields>
  <rowItems count="6">
    <i>
      <x/>
    </i>
    <i>
      <x v="1"/>
    </i>
    <i>
      <x v="2"/>
    </i>
    <i>
      <x v="5"/>
    </i>
    <i>
      <x v="8"/>
    </i>
    <i t="grand">
      <x/>
    </i>
  </rowItems>
  <colItems count="1">
    <i/>
  </colItems>
  <dataFields count="1">
    <dataField name="Sum of Sale Price" fld="5" baseField="0" baseItem="0"/>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 chart="1" format="4">
      <pivotArea type="data" outline="0" fieldPosition="0">
        <references count="2">
          <reference field="4294967294" count="1" selected="0">
            <x v="0"/>
          </reference>
          <reference field="3" count="1" selected="0">
            <x v="5"/>
          </reference>
        </references>
      </pivotArea>
    </chartFormat>
    <chartFormat chart="1" format="5">
      <pivotArea type="data" outline="0" fieldPosition="0">
        <references count="2">
          <reference field="4294967294" count="1" selected="0">
            <x v="0"/>
          </reference>
          <reference field="3" count="1" selected="0">
            <x v="8"/>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3" count="1" selected="0">
            <x v="0"/>
          </reference>
        </references>
      </pivotArea>
    </chartFormat>
    <chartFormat chart="4" format="14">
      <pivotArea type="data" outline="0" fieldPosition="0">
        <references count="2">
          <reference field="4294967294" count="1" selected="0">
            <x v="0"/>
          </reference>
          <reference field="3" count="1" selected="0">
            <x v="1"/>
          </reference>
        </references>
      </pivotArea>
    </chartFormat>
    <chartFormat chart="4" format="15">
      <pivotArea type="data" outline="0" fieldPosition="0">
        <references count="2">
          <reference field="4294967294" count="1" selected="0">
            <x v="0"/>
          </reference>
          <reference field="3" count="1" selected="0">
            <x v="2"/>
          </reference>
        </references>
      </pivotArea>
    </chartFormat>
    <chartFormat chart="4" format="16">
      <pivotArea type="data" outline="0" fieldPosition="0">
        <references count="2">
          <reference field="4294967294" count="1" selected="0">
            <x v="0"/>
          </reference>
          <reference field="3" count="1" selected="0">
            <x v="5"/>
          </reference>
        </references>
      </pivotArea>
    </chartFormat>
    <chartFormat chart="4" format="17">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E82082-8CA4-452D-9DD2-F8EB108E10B7}"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2:B33" firstHeaderRow="1" firstDataRow="1" firstDataCol="1"/>
  <pivotFields count="11">
    <pivotField showAll="0"/>
    <pivotField showAll="0"/>
    <pivotField showAll="0"/>
    <pivotField axis="axisRow" showAll="0">
      <items count="12">
        <item x="6"/>
        <item x="9"/>
        <item x="2"/>
        <item x="8"/>
        <item x="7"/>
        <item x="4"/>
        <item x="1"/>
        <item x="0"/>
        <item x="5"/>
        <item x="3"/>
        <item h="1" x="10"/>
        <item t="default"/>
      </items>
    </pivotField>
    <pivotField showAll="0"/>
    <pivotField showAll="0"/>
    <pivotField showAll="0"/>
    <pivotField dataField="1" showAll="0"/>
    <pivotField showAll="0"/>
    <pivotField showAll="0"/>
    <pivotField showAll="0"/>
  </pivotFields>
  <rowFields count="1">
    <field x="3"/>
  </rowFields>
  <rowItems count="11">
    <i>
      <x/>
    </i>
    <i>
      <x v="1"/>
    </i>
    <i>
      <x v="2"/>
    </i>
    <i>
      <x v="3"/>
    </i>
    <i>
      <x v="4"/>
    </i>
    <i>
      <x v="5"/>
    </i>
    <i>
      <x v="6"/>
    </i>
    <i>
      <x v="7"/>
    </i>
    <i>
      <x v="8"/>
    </i>
    <i>
      <x v="9"/>
    </i>
    <i t="grand">
      <x/>
    </i>
  </rowItems>
  <colItems count="1">
    <i/>
  </colItems>
  <dataFields count="1">
    <dataField name="Sum of Commision 10%" fld="7" baseField="0" baseItem="0"/>
  </dataFields>
  <formats count="11">
    <format dxfId="17">
      <pivotArea collapsedLevelsAreSubtotals="1" fieldPosition="0">
        <references count="1">
          <reference field="3" count="1">
            <x v="9"/>
          </reference>
        </references>
      </pivotArea>
    </format>
    <format dxfId="16">
      <pivotArea grandRow="1" outline="0" collapsedLevelsAreSubtotals="1" fieldPosition="0"/>
    </format>
    <format dxfId="15">
      <pivotArea collapsedLevelsAreSubtotals="1" fieldPosition="0">
        <references count="1">
          <reference field="3" count="1">
            <x v="8"/>
          </reference>
        </references>
      </pivotArea>
    </format>
    <format dxfId="14">
      <pivotArea collapsedLevelsAreSubtotals="1" fieldPosition="0">
        <references count="1">
          <reference field="3" count="1">
            <x v="7"/>
          </reference>
        </references>
      </pivotArea>
    </format>
    <format dxfId="13">
      <pivotArea collapsedLevelsAreSubtotals="1" fieldPosition="0">
        <references count="1">
          <reference field="3" count="1">
            <x v="6"/>
          </reference>
        </references>
      </pivotArea>
    </format>
    <format dxfId="12">
      <pivotArea collapsedLevelsAreSubtotals="1" fieldPosition="0">
        <references count="1">
          <reference field="3" count="1">
            <x v="5"/>
          </reference>
        </references>
      </pivotArea>
    </format>
    <format dxfId="11">
      <pivotArea collapsedLevelsAreSubtotals="1" fieldPosition="0">
        <references count="1">
          <reference field="3" count="1">
            <x v="4"/>
          </reference>
        </references>
      </pivotArea>
    </format>
    <format dxfId="10">
      <pivotArea collapsedLevelsAreSubtotals="1" fieldPosition="0">
        <references count="1">
          <reference field="3" count="1">
            <x v="3"/>
          </reference>
        </references>
      </pivotArea>
    </format>
    <format dxfId="9">
      <pivotArea collapsedLevelsAreSubtotals="1" fieldPosition="0">
        <references count="1">
          <reference field="3" count="1">
            <x v="2"/>
          </reference>
        </references>
      </pivotArea>
    </format>
    <format dxfId="8">
      <pivotArea collapsedLevelsAreSubtotals="1" fieldPosition="0">
        <references count="1">
          <reference field="3" count="1">
            <x v="1"/>
          </reference>
        </references>
      </pivotArea>
    </format>
    <format dxfId="7">
      <pivotArea collapsedLevelsAreSubtotals="1" fieldPosition="0">
        <references count="1">
          <reference field="3" count="1">
            <x v="0"/>
          </reference>
        </references>
      </pivotArea>
    </format>
  </format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9"/>
          </reference>
        </references>
      </pivotArea>
    </chartFormat>
    <chartFormat chart="0" format="2">
      <pivotArea type="data" outline="0" fieldPosition="0">
        <references count="2">
          <reference field="4294967294" count="1" selected="0">
            <x v="0"/>
          </reference>
          <reference field="3" count="1" selected="0">
            <x v="8"/>
          </reference>
        </references>
      </pivotArea>
    </chartFormat>
    <chartFormat chart="0" format="3">
      <pivotArea type="data" outline="0" fieldPosition="0">
        <references count="2">
          <reference field="4294967294" count="1" selected="0">
            <x v="0"/>
          </reference>
          <reference field="3" count="1" selected="0">
            <x v="7"/>
          </reference>
        </references>
      </pivotArea>
    </chartFormat>
    <chartFormat chart="0" format="4">
      <pivotArea type="data" outline="0" fieldPosition="0">
        <references count="2">
          <reference field="4294967294" count="1" selected="0">
            <x v="0"/>
          </reference>
          <reference field="3" count="1" selected="0">
            <x v="6"/>
          </reference>
        </references>
      </pivotArea>
    </chartFormat>
    <chartFormat chart="0" format="5">
      <pivotArea type="data" outline="0" fieldPosition="0">
        <references count="2">
          <reference field="4294967294" count="1" selected="0">
            <x v="0"/>
          </reference>
          <reference field="3" count="1" selected="0">
            <x v="5"/>
          </reference>
        </references>
      </pivotArea>
    </chartFormat>
    <chartFormat chart="0" format="6">
      <pivotArea type="data" outline="0" fieldPosition="0">
        <references count="2">
          <reference field="4294967294" count="1" selected="0">
            <x v="0"/>
          </reference>
          <reference field="3" count="1" selected="0">
            <x v="4"/>
          </reference>
        </references>
      </pivotArea>
    </chartFormat>
    <chartFormat chart="0" format="7">
      <pivotArea type="data" outline="0" fieldPosition="0">
        <references count="2">
          <reference field="4294967294" count="1" selected="0">
            <x v="0"/>
          </reference>
          <reference field="3" count="1" selected="0">
            <x v="1"/>
          </reference>
        </references>
      </pivotArea>
    </chartFormat>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3" count="1" selected="0">
            <x v="1"/>
          </reference>
        </references>
      </pivotArea>
    </chartFormat>
    <chartFormat chart="3" format="18">
      <pivotArea type="data" outline="0" fieldPosition="0">
        <references count="2">
          <reference field="4294967294" count="1" selected="0">
            <x v="0"/>
          </reference>
          <reference field="3" count="1" selected="0">
            <x v="4"/>
          </reference>
        </references>
      </pivotArea>
    </chartFormat>
    <chartFormat chart="3" format="19">
      <pivotArea type="data" outline="0" fieldPosition="0">
        <references count="2">
          <reference field="4294967294" count="1" selected="0">
            <x v="0"/>
          </reference>
          <reference field="3" count="1" selected="0">
            <x v="5"/>
          </reference>
        </references>
      </pivotArea>
    </chartFormat>
    <chartFormat chart="3" format="20">
      <pivotArea type="data" outline="0" fieldPosition="0">
        <references count="2">
          <reference field="4294967294" count="1" selected="0">
            <x v="0"/>
          </reference>
          <reference field="3" count="1" selected="0">
            <x v="6"/>
          </reference>
        </references>
      </pivotArea>
    </chartFormat>
    <chartFormat chart="3" format="21">
      <pivotArea type="data" outline="0" fieldPosition="0">
        <references count="2">
          <reference field="4294967294" count="1" selected="0">
            <x v="0"/>
          </reference>
          <reference field="3" count="1" selected="0">
            <x v="7"/>
          </reference>
        </references>
      </pivotArea>
    </chartFormat>
    <chartFormat chart="3" format="22">
      <pivotArea type="data" outline="0" fieldPosition="0">
        <references count="2">
          <reference field="4294967294" count="1" selected="0">
            <x v="0"/>
          </reference>
          <reference field="3" count="1" selected="0">
            <x v="8"/>
          </reference>
        </references>
      </pivotArea>
    </chartFormat>
    <chartFormat chart="3" format="23">
      <pivotArea type="data" outline="0" fieldPosition="0">
        <references count="2">
          <reference field="4294967294" count="1" selected="0">
            <x v="0"/>
          </reference>
          <reference field="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32A661-E3E7-4935-8D93-968D1B311014}"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B17" firstHeaderRow="1" firstDataRow="1" firstDataCol="1"/>
  <pivotFields count="11">
    <pivotField showAll="0">
      <items count="13">
        <item x="0"/>
        <item h="1" x="3"/>
        <item h="1" x="1"/>
        <item h="1" x="2"/>
        <item h="1" x="4"/>
        <item h="1" x="7"/>
        <item h="1" x="9"/>
        <item h="1" x="10"/>
        <item h="1" x="11"/>
        <item h="1" x="5"/>
        <item h="1" x="6"/>
        <item h="1" x="8"/>
        <item t="default"/>
      </items>
    </pivotField>
    <pivotField numFmtId="164" showAll="0"/>
    <pivotField showAll="0"/>
    <pivotField axis="axisRow" showAll="0">
      <items count="11">
        <item x="6"/>
        <item x="9"/>
        <item x="2"/>
        <item x="8"/>
        <item x="7"/>
        <item x="4"/>
        <item x="1"/>
        <item x="0"/>
        <item x="5"/>
        <item x="3"/>
        <item t="default"/>
      </items>
    </pivotField>
    <pivotField numFmtId="44" showAll="0"/>
    <pivotField dataField="1" numFmtId="44" showAll="0"/>
    <pivotField numFmtId="44" showAll="0"/>
    <pivotField numFmtId="44" showAll="0"/>
    <pivotField showAll="0"/>
    <pivotField showAll="0"/>
    <pivotField showAll="0"/>
  </pivotFields>
  <rowFields count="1">
    <field x="3"/>
  </rowFields>
  <rowItems count="11">
    <i>
      <x/>
    </i>
    <i>
      <x v="1"/>
    </i>
    <i>
      <x v="2"/>
    </i>
    <i>
      <x v="3"/>
    </i>
    <i>
      <x v="4"/>
    </i>
    <i>
      <x v="5"/>
    </i>
    <i>
      <x v="6"/>
    </i>
    <i>
      <x v="7"/>
    </i>
    <i>
      <x v="8"/>
    </i>
    <i>
      <x v="9"/>
    </i>
    <i t="grand">
      <x/>
    </i>
  </rowItems>
  <colItems count="1">
    <i/>
  </colItems>
  <dataFields count="1">
    <dataField name="Sum of Sale Price" fld="5" baseField="0" baseItem="0" numFmtId="44"/>
  </dataFields>
  <formats count="2">
    <format dxfId="19">
      <pivotArea collapsedLevelsAreSubtotals="1" fieldPosition="0">
        <references count="1">
          <reference field="3" count="1">
            <x v="0"/>
          </reference>
        </references>
      </pivotArea>
    </format>
    <format dxfId="18">
      <pivotArea outline="0" collapsedLevelsAreSubtotals="1" fieldPosition="0"/>
    </format>
  </formats>
  <chartFormats count="1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8"/>
          </reference>
        </references>
      </pivotArea>
    </chartFormat>
    <chartFormat chart="2" format="2">
      <pivotArea type="data" outline="0" fieldPosition="0">
        <references count="2">
          <reference field="4294967294" count="1" selected="0">
            <x v="0"/>
          </reference>
          <reference field="3" count="1" selected="0">
            <x v="7"/>
          </reference>
        </references>
      </pivotArea>
    </chartFormat>
    <chartFormat chart="2" format="3">
      <pivotArea type="data" outline="0" fieldPosition="0">
        <references count="2">
          <reference field="4294967294" count="1" selected="0">
            <x v="0"/>
          </reference>
          <reference field="3" count="1" selected="0">
            <x v="6"/>
          </reference>
        </references>
      </pivotArea>
    </chartFormat>
    <chartFormat chart="2" format="4">
      <pivotArea type="data" outline="0" fieldPosition="0">
        <references count="2">
          <reference field="4294967294" count="1" selected="0">
            <x v="0"/>
          </reference>
          <reference field="3" count="1" selected="0">
            <x v="5"/>
          </reference>
        </references>
      </pivotArea>
    </chartFormat>
    <chartFormat chart="2" format="5">
      <pivotArea type="data" outline="0" fieldPosition="0">
        <references count="2">
          <reference field="4294967294" count="1" selected="0">
            <x v="0"/>
          </reference>
          <reference field="3" count="1" selected="0">
            <x v="4"/>
          </reference>
        </references>
      </pivotArea>
    </chartFormat>
    <chartFormat chart="2" format="6">
      <pivotArea type="data" outline="0" fieldPosition="0">
        <references count="2">
          <reference field="4294967294" count="1" selected="0">
            <x v="0"/>
          </reference>
          <reference field="3" count="1" selected="0">
            <x v="3"/>
          </reference>
        </references>
      </pivotArea>
    </chartFormat>
    <chartFormat chart="2" format="7">
      <pivotArea type="data" outline="0" fieldPosition="0">
        <references count="2">
          <reference field="4294967294" count="1" selected="0">
            <x v="0"/>
          </reference>
          <reference field="3" count="1" selected="0">
            <x v="2"/>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3" count="1" selected="0">
            <x v="1"/>
          </reference>
        </references>
      </pivotArea>
    </chartFormat>
    <chartFormat chart="5" format="20">
      <pivotArea type="data" outline="0" fieldPosition="0">
        <references count="2">
          <reference field="4294967294" count="1" selected="0">
            <x v="0"/>
          </reference>
          <reference field="3" count="1" selected="0">
            <x v="2"/>
          </reference>
        </references>
      </pivotArea>
    </chartFormat>
    <chartFormat chart="5" format="21">
      <pivotArea type="data" outline="0" fieldPosition="0">
        <references count="2">
          <reference field="4294967294" count="1" selected="0">
            <x v="0"/>
          </reference>
          <reference field="3" count="1" selected="0">
            <x v="3"/>
          </reference>
        </references>
      </pivotArea>
    </chartFormat>
    <chartFormat chart="5" format="22">
      <pivotArea type="data" outline="0" fieldPosition="0">
        <references count="2">
          <reference field="4294967294" count="1" selected="0">
            <x v="0"/>
          </reference>
          <reference field="3" count="1" selected="0">
            <x v="4"/>
          </reference>
        </references>
      </pivotArea>
    </chartFormat>
    <chartFormat chart="5" format="23">
      <pivotArea type="data" outline="0" fieldPosition="0">
        <references count="2">
          <reference field="4294967294" count="1" selected="0">
            <x v="0"/>
          </reference>
          <reference field="3" count="1" selected="0">
            <x v="5"/>
          </reference>
        </references>
      </pivotArea>
    </chartFormat>
    <chartFormat chart="5" format="24">
      <pivotArea type="data" outline="0" fieldPosition="0">
        <references count="2">
          <reference field="4294967294" count="1" selected="0">
            <x v="0"/>
          </reference>
          <reference field="3" count="1" selected="0">
            <x v="6"/>
          </reference>
        </references>
      </pivotArea>
    </chartFormat>
    <chartFormat chart="5" format="25">
      <pivotArea type="data" outline="0" fieldPosition="0">
        <references count="2">
          <reference field="4294967294" count="1" selected="0">
            <x v="0"/>
          </reference>
          <reference field="3" count="1" selected="0">
            <x v="7"/>
          </reference>
        </references>
      </pivotArea>
    </chartFormat>
    <chartFormat chart="5" format="26">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C7C22B-F8BB-4AF2-93AA-D7A0078F7ECB}"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W4:X17" firstHeaderRow="1" firstDataRow="1" firstDataCol="1"/>
  <pivotFields count="11">
    <pivotField axis="axisRow" showAll="0">
      <items count="13">
        <item x="0"/>
        <item x="1"/>
        <item x="2"/>
        <item x="3"/>
        <item x="4"/>
        <item x="5"/>
        <item x="6"/>
        <item x="7"/>
        <item x="8"/>
        <item x="9"/>
        <item x="10"/>
        <item x="11"/>
        <item t="default"/>
      </items>
    </pivotField>
    <pivotField numFmtId="164" showAll="0"/>
    <pivotField showAll="0"/>
    <pivotField showAll="0">
      <items count="11">
        <item x="6"/>
        <item x="9"/>
        <item x="2"/>
        <item x="8"/>
        <item x="7"/>
        <item x="4"/>
        <item x="1"/>
        <item x="0"/>
        <item x="5"/>
        <item x="3"/>
        <item t="default"/>
      </items>
    </pivotField>
    <pivotField numFmtId="44" showAll="0"/>
    <pivotField dataField="1" numFmtId="44" showAll="0"/>
    <pivotField numFmtId="44" showAll="0"/>
    <pivotField numFmtId="44" showAll="0"/>
    <pivotField showAll="0"/>
    <pivotField showAll="0"/>
    <pivotField showAll="0"/>
  </pivotFields>
  <rowFields count="1">
    <field x="0"/>
  </rowFields>
  <rowItems count="13">
    <i>
      <x/>
    </i>
    <i>
      <x v="1"/>
    </i>
    <i>
      <x v="2"/>
    </i>
    <i>
      <x v="3"/>
    </i>
    <i>
      <x v="4"/>
    </i>
    <i>
      <x v="5"/>
    </i>
    <i>
      <x v="6"/>
    </i>
    <i>
      <x v="7"/>
    </i>
    <i>
      <x v="8"/>
    </i>
    <i>
      <x v="9"/>
    </i>
    <i>
      <x v="10"/>
    </i>
    <i>
      <x v="11"/>
    </i>
    <i t="grand">
      <x/>
    </i>
  </rowItems>
  <colItems count="1">
    <i/>
  </colItems>
  <dataFields count="1">
    <dataField name="Sum of Sale Price" fld="5" baseField="0" baseItem="0"/>
  </dataFields>
  <chartFormats count="6">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AAACB51-BA70-4F8A-A350-F9EE0AD03E1E}" sourceName="Month">
  <pivotTables>
    <pivotTable tabId="2" name="PivotTable4"/>
    <pivotTable tabId="2" name="PivotTable3"/>
    <pivotTable tabId="2" name="PivotTable9"/>
  </pivotTables>
  <data>
    <tabular pivotCacheId="1625153552">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594D373D-00DD-4C24-9218-94025E11DAD4}" cache="Slicer_Month" caption="Month"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F26246-D8D0-41C2-B12D-50F8E9B034BD}" name="Table1" displayName="Table1" ref="A1:K172" totalsRowShown="0" headerRowDxfId="32" dataDxfId="31">
  <autoFilter ref="A1:K172" xr:uid="{BCF26246-D8D0-41C2-B12D-50F8E9B034BD}"/>
  <tableColumns count="11">
    <tableColumn id="1" xr3:uid="{3CCBA8C3-5263-4DC7-8499-9D21656BF6A5}" name="Month" dataDxfId="30"/>
    <tableColumn id="2" xr3:uid="{095794B5-CD72-4EDC-B53C-F3DA25717D9E}" name="Transaction Number" dataDxfId="29" dataCellStyle="Comma"/>
    <tableColumn id="3" xr3:uid="{D560CE9F-A045-4A24-BA92-DF8C1C9C5EB6}" name="Product Code" dataDxfId="28"/>
    <tableColumn id="4" xr3:uid="{86ECFAB1-30FF-4485-8546-A1E01F5F0522}" name="Product Description" dataDxfId="27"/>
    <tableColumn id="5" xr3:uid="{DA02E68A-8EB8-4B7E-AF2A-AF1A6819E97A}" name="Store Cost" dataDxfId="26" dataCellStyle="Currency"/>
    <tableColumn id="6" xr3:uid="{627F1B3A-8F70-4818-B857-CCD83F4446BB}" name="Sale Price" dataDxfId="25" dataCellStyle="Currency"/>
    <tableColumn id="7" xr3:uid="{05096F4D-1CE8-4FB7-9ADF-E94EA4EE02D4}" name="Profit" dataDxfId="24" dataCellStyle="Currency">
      <calculatedColumnFormula>F2-E2</calculatedColumnFormula>
    </tableColumn>
    <tableColumn id="8" xr3:uid="{3806A153-97AE-4936-8EFC-F923C970F968}" name="Commision 10%" dataDxfId="23" dataCellStyle="Currency">
      <calculatedColumnFormula>IF(F2&gt;50,G2*0.2,G2*0.1)</calculatedColumnFormula>
    </tableColumn>
    <tableColumn id="9" xr3:uid="{D6DD9266-1EEF-48AB-9DEA-E0AC495CACDA}" name="First Name" dataDxfId="22"/>
    <tableColumn id="10" xr3:uid="{41C8A488-330F-4F20-81D8-89455F9D6172}" name="Last Name" dataDxfId="21"/>
    <tableColumn id="11" xr3:uid="{77CC6869-B8A3-4C1F-B475-7CD997A5F4D5}" name="Sale Location" dataDxfId="2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D5C05-C58D-4CBD-863F-B38BD3BB1EA6}">
  <dimension ref="A1:P177"/>
  <sheetViews>
    <sheetView topLeftCell="A56" workbookViewId="0">
      <selection activeCell="A2" sqref="A2"/>
    </sheetView>
  </sheetViews>
  <sheetFormatPr defaultRowHeight="15" x14ac:dyDescent="0.25"/>
  <cols>
    <col min="1" max="1" width="19.5703125" customWidth="1"/>
    <col min="2" max="2" width="26.7109375" customWidth="1"/>
    <col min="3" max="3" width="20.5703125" customWidth="1"/>
    <col min="4" max="4" width="21.5703125" customWidth="1"/>
    <col min="5" max="5" width="13.28515625" customWidth="1"/>
    <col min="6" max="6" width="11.7109375" customWidth="1"/>
    <col min="7" max="7" width="10.85546875" customWidth="1"/>
    <col min="8" max="8" width="17.85546875" customWidth="1"/>
    <col min="9" max="9" width="13.42578125" customWidth="1"/>
    <col min="10" max="10" width="15.5703125" customWidth="1"/>
    <col min="11" max="11" width="19.28515625" customWidth="1"/>
  </cols>
  <sheetData>
    <row r="1" spans="1:11" x14ac:dyDescent="0.25">
      <c r="A1" s="6" t="s">
        <v>0</v>
      </c>
      <c r="B1" s="6" t="s">
        <v>1</v>
      </c>
      <c r="C1" s="6" t="s">
        <v>2</v>
      </c>
      <c r="D1" s="6" t="s">
        <v>3</v>
      </c>
      <c r="E1" s="6" t="s">
        <v>4</v>
      </c>
      <c r="F1" s="6" t="s">
        <v>5</v>
      </c>
      <c r="G1" s="6" t="s">
        <v>6</v>
      </c>
      <c r="H1" s="6" t="s">
        <v>7</v>
      </c>
      <c r="I1" s="6" t="s">
        <v>8</v>
      </c>
      <c r="J1" s="6" t="s">
        <v>9</v>
      </c>
      <c r="K1" s="6" t="s">
        <v>10</v>
      </c>
    </row>
    <row r="2" spans="1:11" x14ac:dyDescent="0.25">
      <c r="A2" s="15" t="s">
        <v>11</v>
      </c>
      <c r="B2" s="12">
        <v>1001</v>
      </c>
      <c r="C2" s="4">
        <v>9822</v>
      </c>
      <c r="D2" s="4" t="s">
        <v>12</v>
      </c>
      <c r="E2" s="5">
        <v>58.3</v>
      </c>
      <c r="F2" s="5">
        <v>98.4</v>
      </c>
      <c r="G2" s="5">
        <f t="shared" ref="G2:G33" si="0">F2-E2</f>
        <v>40.100000000000009</v>
      </c>
      <c r="H2" s="5">
        <f t="shared" ref="H2:H33" si="1">IF(F2&gt;50,G2*0.2,G2*0.1)</f>
        <v>8.0200000000000014</v>
      </c>
      <c r="I2" s="4" t="s">
        <v>13</v>
      </c>
      <c r="J2" s="4" t="s">
        <v>14</v>
      </c>
      <c r="K2" s="4" t="s">
        <v>15</v>
      </c>
    </row>
    <row r="3" spans="1:11" x14ac:dyDescent="0.25">
      <c r="A3" s="15" t="s">
        <v>11</v>
      </c>
      <c r="B3" s="3">
        <v>1002</v>
      </c>
      <c r="C3" s="4">
        <v>2877</v>
      </c>
      <c r="D3" s="4" t="s">
        <v>16</v>
      </c>
      <c r="E3" s="5">
        <v>11.4</v>
      </c>
      <c r="F3" s="5">
        <v>16.3</v>
      </c>
      <c r="G3" s="5">
        <f t="shared" si="0"/>
        <v>4.9000000000000004</v>
      </c>
      <c r="H3" s="5">
        <f t="shared" si="1"/>
        <v>0.49000000000000005</v>
      </c>
      <c r="I3" s="4" t="s">
        <v>17</v>
      </c>
      <c r="J3" s="4" t="s">
        <v>18</v>
      </c>
      <c r="K3" s="4" t="s">
        <v>19</v>
      </c>
    </row>
    <row r="4" spans="1:11" x14ac:dyDescent="0.25">
      <c r="A4" s="15" t="s">
        <v>11</v>
      </c>
      <c r="B4" s="3">
        <v>1003</v>
      </c>
      <c r="C4" s="4">
        <v>2499</v>
      </c>
      <c r="D4" s="4" t="s">
        <v>20</v>
      </c>
      <c r="E4" s="5">
        <v>6.2</v>
      </c>
      <c r="F4" s="5">
        <v>9.1999999999999993</v>
      </c>
      <c r="G4" s="5">
        <f t="shared" si="0"/>
        <v>2.9999999999999991</v>
      </c>
      <c r="H4" s="5">
        <f t="shared" si="1"/>
        <v>0.29999999999999993</v>
      </c>
      <c r="I4" s="4" t="s">
        <v>21</v>
      </c>
      <c r="J4" s="4" t="s">
        <v>22</v>
      </c>
      <c r="K4" s="4" t="s">
        <v>23</v>
      </c>
    </row>
    <row r="5" spans="1:11" x14ac:dyDescent="0.25">
      <c r="A5" s="15" t="s">
        <v>11</v>
      </c>
      <c r="B5" s="3">
        <v>1004</v>
      </c>
      <c r="C5" s="4">
        <v>8722</v>
      </c>
      <c r="D5" s="4" t="s">
        <v>24</v>
      </c>
      <c r="E5" s="5">
        <v>344</v>
      </c>
      <c r="F5" s="5">
        <v>502</v>
      </c>
      <c r="G5" s="5">
        <f t="shared" si="0"/>
        <v>158</v>
      </c>
      <c r="H5" s="5">
        <f t="shared" si="1"/>
        <v>31.6</v>
      </c>
      <c r="I5" s="4" t="s">
        <v>13</v>
      </c>
      <c r="J5" s="4" t="s">
        <v>14</v>
      </c>
      <c r="K5" s="4" t="s">
        <v>23</v>
      </c>
    </row>
    <row r="6" spans="1:11" x14ac:dyDescent="0.25">
      <c r="A6" s="15" t="s">
        <v>11</v>
      </c>
      <c r="B6" s="3">
        <v>1005</v>
      </c>
      <c r="C6" s="4">
        <v>1109</v>
      </c>
      <c r="D6" s="4" t="s">
        <v>25</v>
      </c>
      <c r="E6" s="5">
        <v>3</v>
      </c>
      <c r="F6" s="5">
        <v>8</v>
      </c>
      <c r="G6" s="5">
        <f t="shared" si="0"/>
        <v>5</v>
      </c>
      <c r="H6" s="5">
        <f t="shared" si="1"/>
        <v>0.5</v>
      </c>
      <c r="I6" s="4" t="s">
        <v>21</v>
      </c>
      <c r="J6" s="4" t="s">
        <v>22</v>
      </c>
      <c r="K6" s="4" t="s">
        <v>23</v>
      </c>
    </row>
    <row r="7" spans="1:11" x14ac:dyDescent="0.25">
      <c r="A7" s="15" t="s">
        <v>11</v>
      </c>
      <c r="B7" s="3">
        <v>1006</v>
      </c>
      <c r="C7" s="4">
        <v>9822</v>
      </c>
      <c r="D7" s="4" t="s">
        <v>12</v>
      </c>
      <c r="E7" s="5">
        <v>58.3</v>
      </c>
      <c r="F7" s="5">
        <v>98.4</v>
      </c>
      <c r="G7" s="5">
        <f t="shared" si="0"/>
        <v>40.100000000000009</v>
      </c>
      <c r="H7" s="5">
        <f t="shared" si="1"/>
        <v>8.0200000000000014</v>
      </c>
      <c r="I7" s="4" t="s">
        <v>21</v>
      </c>
      <c r="J7" s="4" t="s">
        <v>22</v>
      </c>
      <c r="K7" s="4" t="s">
        <v>23</v>
      </c>
    </row>
    <row r="8" spans="1:11" x14ac:dyDescent="0.25">
      <c r="A8" s="15" t="s">
        <v>11</v>
      </c>
      <c r="B8" s="3">
        <v>1007</v>
      </c>
      <c r="C8" s="4">
        <v>1109</v>
      </c>
      <c r="D8" s="4" t="s">
        <v>25</v>
      </c>
      <c r="E8" s="5">
        <v>3</v>
      </c>
      <c r="F8" s="5">
        <v>8</v>
      </c>
      <c r="G8" s="5">
        <f t="shared" si="0"/>
        <v>5</v>
      </c>
      <c r="H8" s="5">
        <f t="shared" si="1"/>
        <v>0.5</v>
      </c>
      <c r="I8" s="4" t="s">
        <v>26</v>
      </c>
      <c r="J8" s="4" t="s">
        <v>27</v>
      </c>
      <c r="K8" s="4" t="s">
        <v>15</v>
      </c>
    </row>
    <row r="9" spans="1:11" x14ac:dyDescent="0.25">
      <c r="A9" s="15" t="s">
        <v>11</v>
      </c>
      <c r="B9" s="3">
        <v>1008</v>
      </c>
      <c r="C9" s="4">
        <v>2877</v>
      </c>
      <c r="D9" s="4" t="s">
        <v>16</v>
      </c>
      <c r="E9" s="5">
        <v>11.4</v>
      </c>
      <c r="F9" s="5">
        <v>16.3</v>
      </c>
      <c r="G9" s="5">
        <f t="shared" si="0"/>
        <v>4.9000000000000004</v>
      </c>
      <c r="H9" s="5">
        <f t="shared" si="1"/>
        <v>0.49000000000000005</v>
      </c>
      <c r="I9" s="4" t="s">
        <v>21</v>
      </c>
      <c r="J9" s="4" t="s">
        <v>22</v>
      </c>
      <c r="K9" s="4" t="s">
        <v>15</v>
      </c>
    </row>
    <row r="10" spans="1:11" x14ac:dyDescent="0.25">
      <c r="A10" s="15" t="s">
        <v>11</v>
      </c>
      <c r="B10" s="3">
        <v>1009</v>
      </c>
      <c r="C10" s="4">
        <v>1109</v>
      </c>
      <c r="D10" s="4" t="s">
        <v>25</v>
      </c>
      <c r="E10" s="5">
        <v>3</v>
      </c>
      <c r="F10" s="5">
        <v>8</v>
      </c>
      <c r="G10" s="5">
        <f t="shared" si="0"/>
        <v>5</v>
      </c>
      <c r="H10" s="5">
        <f t="shared" si="1"/>
        <v>0.5</v>
      </c>
      <c r="I10" s="4" t="s">
        <v>21</v>
      </c>
      <c r="J10" s="4" t="s">
        <v>22</v>
      </c>
      <c r="K10" s="4" t="s">
        <v>23</v>
      </c>
    </row>
    <row r="11" spans="1:11" x14ac:dyDescent="0.25">
      <c r="A11" s="15" t="s">
        <v>11</v>
      </c>
      <c r="B11" s="3">
        <v>1010</v>
      </c>
      <c r="C11" s="4">
        <v>2877</v>
      </c>
      <c r="D11" s="4" t="s">
        <v>16</v>
      </c>
      <c r="E11" s="5">
        <v>11.4</v>
      </c>
      <c r="F11" s="5">
        <v>16.3</v>
      </c>
      <c r="G11" s="5">
        <f t="shared" si="0"/>
        <v>4.9000000000000004</v>
      </c>
      <c r="H11" s="5">
        <f t="shared" si="1"/>
        <v>0.49000000000000005</v>
      </c>
      <c r="I11" s="4" t="s">
        <v>17</v>
      </c>
      <c r="J11" s="4" t="s">
        <v>18</v>
      </c>
      <c r="K11" s="4" t="s">
        <v>28</v>
      </c>
    </row>
    <row r="12" spans="1:11" x14ac:dyDescent="0.25">
      <c r="A12" s="15" t="s">
        <v>11</v>
      </c>
      <c r="B12" s="3">
        <v>1011</v>
      </c>
      <c r="C12" s="4">
        <v>2877</v>
      </c>
      <c r="D12" s="4" t="s">
        <v>16</v>
      </c>
      <c r="E12" s="5">
        <v>11.4</v>
      </c>
      <c r="F12" s="5">
        <v>16.3</v>
      </c>
      <c r="G12" s="5">
        <f t="shared" si="0"/>
        <v>4.9000000000000004</v>
      </c>
      <c r="H12" s="5">
        <f t="shared" si="1"/>
        <v>0.49000000000000005</v>
      </c>
      <c r="I12" s="4" t="s">
        <v>17</v>
      </c>
      <c r="J12" s="4" t="s">
        <v>18</v>
      </c>
      <c r="K12" s="4" t="s">
        <v>23</v>
      </c>
    </row>
    <row r="13" spans="1:11" x14ac:dyDescent="0.25">
      <c r="A13" s="15" t="s">
        <v>11</v>
      </c>
      <c r="B13" s="3">
        <v>1012</v>
      </c>
      <c r="C13" s="4">
        <v>4421</v>
      </c>
      <c r="D13" s="4" t="s">
        <v>29</v>
      </c>
      <c r="E13" s="5">
        <v>45</v>
      </c>
      <c r="F13" s="5">
        <v>87</v>
      </c>
      <c r="G13" s="5">
        <f t="shared" si="0"/>
        <v>42</v>
      </c>
      <c r="H13" s="5">
        <f t="shared" si="1"/>
        <v>8.4</v>
      </c>
      <c r="I13" s="4" t="s">
        <v>21</v>
      </c>
      <c r="J13" s="4" t="s">
        <v>22</v>
      </c>
      <c r="K13" s="4" t="s">
        <v>15</v>
      </c>
    </row>
    <row r="14" spans="1:11" x14ac:dyDescent="0.25">
      <c r="A14" s="15" t="s">
        <v>11</v>
      </c>
      <c r="B14" s="3">
        <v>1013</v>
      </c>
      <c r="C14" s="4">
        <v>9212</v>
      </c>
      <c r="D14" s="4" t="s">
        <v>30</v>
      </c>
      <c r="E14" s="5">
        <v>4</v>
      </c>
      <c r="F14" s="5">
        <v>7</v>
      </c>
      <c r="G14" s="5">
        <f t="shared" si="0"/>
        <v>3</v>
      </c>
      <c r="H14" s="5">
        <f t="shared" si="1"/>
        <v>0.30000000000000004</v>
      </c>
      <c r="I14" s="4" t="s">
        <v>26</v>
      </c>
      <c r="J14" s="4" t="s">
        <v>27</v>
      </c>
      <c r="K14" s="4" t="s">
        <v>28</v>
      </c>
    </row>
    <row r="15" spans="1:11" x14ac:dyDescent="0.25">
      <c r="A15" s="15" t="s">
        <v>11</v>
      </c>
      <c r="B15" s="3">
        <v>1014</v>
      </c>
      <c r="C15" s="4">
        <v>8722</v>
      </c>
      <c r="D15" s="4" t="s">
        <v>24</v>
      </c>
      <c r="E15" s="5">
        <v>344</v>
      </c>
      <c r="F15" s="5">
        <v>502</v>
      </c>
      <c r="G15" s="5">
        <f t="shared" si="0"/>
        <v>158</v>
      </c>
      <c r="H15" s="5">
        <f t="shared" si="1"/>
        <v>31.6</v>
      </c>
      <c r="I15" s="4" t="s">
        <v>13</v>
      </c>
      <c r="J15" s="4" t="s">
        <v>14</v>
      </c>
      <c r="K15" s="4" t="s">
        <v>19</v>
      </c>
    </row>
    <row r="16" spans="1:11" x14ac:dyDescent="0.25">
      <c r="A16" s="15" t="s">
        <v>11</v>
      </c>
      <c r="B16" s="3">
        <v>1015</v>
      </c>
      <c r="C16" s="4">
        <v>2877</v>
      </c>
      <c r="D16" s="4" t="s">
        <v>16</v>
      </c>
      <c r="E16" s="5">
        <v>11.4</v>
      </c>
      <c r="F16" s="5">
        <v>16.3</v>
      </c>
      <c r="G16" s="5">
        <f t="shared" si="0"/>
        <v>4.9000000000000004</v>
      </c>
      <c r="H16" s="5">
        <f t="shared" si="1"/>
        <v>0.49000000000000005</v>
      </c>
      <c r="I16" s="4" t="s">
        <v>26</v>
      </c>
      <c r="J16" s="4" t="s">
        <v>27</v>
      </c>
      <c r="K16" s="4" t="s">
        <v>23</v>
      </c>
    </row>
    <row r="17" spans="1:11" x14ac:dyDescent="0.25">
      <c r="A17" s="15" t="s">
        <v>31</v>
      </c>
      <c r="B17" s="3">
        <v>1016</v>
      </c>
      <c r="C17" s="4">
        <v>2499</v>
      </c>
      <c r="D17" s="4" t="s">
        <v>20</v>
      </c>
      <c r="E17" s="5">
        <v>6.2</v>
      </c>
      <c r="F17" s="5">
        <v>9.1999999999999993</v>
      </c>
      <c r="G17" s="5">
        <f t="shared" si="0"/>
        <v>2.9999999999999991</v>
      </c>
      <c r="H17" s="5">
        <f t="shared" si="1"/>
        <v>0.29999999999999993</v>
      </c>
      <c r="I17" s="4" t="s">
        <v>21</v>
      </c>
      <c r="J17" s="4" t="s">
        <v>22</v>
      </c>
      <c r="K17" s="4" t="s">
        <v>19</v>
      </c>
    </row>
    <row r="18" spans="1:11" x14ac:dyDescent="0.25">
      <c r="A18" s="15" t="s">
        <v>31</v>
      </c>
      <c r="B18" s="3">
        <v>1017</v>
      </c>
      <c r="C18" s="4">
        <v>2242</v>
      </c>
      <c r="D18" s="4" t="s">
        <v>32</v>
      </c>
      <c r="E18" s="5">
        <v>60</v>
      </c>
      <c r="F18" s="5">
        <v>124</v>
      </c>
      <c r="G18" s="5">
        <f t="shared" si="0"/>
        <v>64</v>
      </c>
      <c r="H18" s="5">
        <f t="shared" si="1"/>
        <v>12.8</v>
      </c>
      <c r="I18" s="4" t="s">
        <v>17</v>
      </c>
      <c r="J18" s="4" t="s">
        <v>18</v>
      </c>
      <c r="K18" s="4" t="s">
        <v>15</v>
      </c>
    </row>
    <row r="19" spans="1:11" x14ac:dyDescent="0.25">
      <c r="A19" s="15" t="s">
        <v>31</v>
      </c>
      <c r="B19" s="3">
        <v>1018</v>
      </c>
      <c r="C19" s="4">
        <v>1109</v>
      </c>
      <c r="D19" s="4" t="s">
        <v>25</v>
      </c>
      <c r="E19" s="5">
        <v>3</v>
      </c>
      <c r="F19" s="5">
        <v>8</v>
      </c>
      <c r="G19" s="5">
        <f t="shared" si="0"/>
        <v>5</v>
      </c>
      <c r="H19" s="5">
        <f t="shared" si="1"/>
        <v>0.5</v>
      </c>
      <c r="I19" s="4" t="s">
        <v>21</v>
      </c>
      <c r="J19" s="4" t="s">
        <v>22</v>
      </c>
      <c r="K19" s="4" t="s">
        <v>19</v>
      </c>
    </row>
    <row r="20" spans="1:11" x14ac:dyDescent="0.25">
      <c r="A20" s="15" t="s">
        <v>31</v>
      </c>
      <c r="B20" s="3">
        <v>1019</v>
      </c>
      <c r="C20" s="4">
        <v>2499</v>
      </c>
      <c r="D20" s="4" t="s">
        <v>20</v>
      </c>
      <c r="E20" s="5">
        <v>6.2</v>
      </c>
      <c r="F20" s="5">
        <v>9.1999999999999993</v>
      </c>
      <c r="G20" s="5">
        <f t="shared" si="0"/>
        <v>2.9999999999999991</v>
      </c>
      <c r="H20" s="5">
        <f t="shared" si="1"/>
        <v>0.29999999999999993</v>
      </c>
      <c r="I20" s="4" t="s">
        <v>21</v>
      </c>
      <c r="J20" s="4" t="s">
        <v>22</v>
      </c>
      <c r="K20" s="4" t="s">
        <v>28</v>
      </c>
    </row>
    <row r="21" spans="1:11" x14ac:dyDescent="0.25">
      <c r="A21" s="15" t="s">
        <v>31</v>
      </c>
      <c r="B21" s="3">
        <v>1020</v>
      </c>
      <c r="C21" s="4">
        <v>2499</v>
      </c>
      <c r="D21" s="4" t="s">
        <v>20</v>
      </c>
      <c r="E21" s="5">
        <v>6.2</v>
      </c>
      <c r="F21" s="5">
        <v>9.1999999999999993</v>
      </c>
      <c r="G21" s="5">
        <f t="shared" si="0"/>
        <v>2.9999999999999991</v>
      </c>
      <c r="H21" s="5">
        <f t="shared" si="1"/>
        <v>0.29999999999999993</v>
      </c>
      <c r="I21" s="4" t="s">
        <v>21</v>
      </c>
      <c r="J21" s="4" t="s">
        <v>22</v>
      </c>
      <c r="K21" s="4" t="s">
        <v>33</v>
      </c>
    </row>
    <row r="22" spans="1:11" x14ac:dyDescent="0.25">
      <c r="A22" s="15" t="s">
        <v>31</v>
      </c>
      <c r="B22" s="3">
        <v>1021</v>
      </c>
      <c r="C22" s="4">
        <v>1109</v>
      </c>
      <c r="D22" s="4" t="s">
        <v>25</v>
      </c>
      <c r="E22" s="5">
        <v>3</v>
      </c>
      <c r="F22" s="5">
        <v>8</v>
      </c>
      <c r="G22" s="5">
        <f t="shared" si="0"/>
        <v>5</v>
      </c>
      <c r="H22" s="5">
        <f t="shared" si="1"/>
        <v>0.5</v>
      </c>
      <c r="I22" s="4" t="s">
        <v>17</v>
      </c>
      <c r="J22" s="4" t="s">
        <v>18</v>
      </c>
      <c r="K22" s="4" t="s">
        <v>28</v>
      </c>
    </row>
    <row r="23" spans="1:11" x14ac:dyDescent="0.25">
      <c r="A23" s="15" t="s">
        <v>31</v>
      </c>
      <c r="B23" s="3">
        <v>1022</v>
      </c>
      <c r="C23" s="4">
        <v>2877</v>
      </c>
      <c r="D23" s="4" t="s">
        <v>16</v>
      </c>
      <c r="E23" s="5">
        <v>11.4</v>
      </c>
      <c r="F23" s="5">
        <v>16.3</v>
      </c>
      <c r="G23" s="5">
        <f t="shared" si="0"/>
        <v>4.9000000000000004</v>
      </c>
      <c r="H23" s="5">
        <f t="shared" si="1"/>
        <v>0.49000000000000005</v>
      </c>
      <c r="I23" s="4" t="s">
        <v>21</v>
      </c>
      <c r="J23" s="4" t="s">
        <v>22</v>
      </c>
      <c r="K23" s="4" t="s">
        <v>34</v>
      </c>
    </row>
    <row r="24" spans="1:11" x14ac:dyDescent="0.25">
      <c r="A24" s="15" t="s">
        <v>31</v>
      </c>
      <c r="B24" s="3">
        <v>1023</v>
      </c>
      <c r="C24" s="4">
        <v>1109</v>
      </c>
      <c r="D24" s="4" t="s">
        <v>25</v>
      </c>
      <c r="E24" s="5">
        <v>3</v>
      </c>
      <c r="F24" s="5">
        <v>8</v>
      </c>
      <c r="G24" s="5">
        <f t="shared" si="0"/>
        <v>5</v>
      </c>
      <c r="H24" s="5">
        <f t="shared" si="1"/>
        <v>0.5</v>
      </c>
      <c r="I24" s="4" t="s">
        <v>26</v>
      </c>
      <c r="J24" s="4" t="s">
        <v>27</v>
      </c>
      <c r="K24" s="4" t="s">
        <v>15</v>
      </c>
    </row>
    <row r="25" spans="1:11" x14ac:dyDescent="0.25">
      <c r="A25" s="15" t="s">
        <v>31</v>
      </c>
      <c r="B25" s="3">
        <v>1024</v>
      </c>
      <c r="C25" s="4">
        <v>9212</v>
      </c>
      <c r="D25" s="4" t="s">
        <v>30</v>
      </c>
      <c r="E25" s="5">
        <v>4</v>
      </c>
      <c r="F25" s="5">
        <v>7</v>
      </c>
      <c r="G25" s="5">
        <f t="shared" si="0"/>
        <v>3</v>
      </c>
      <c r="H25" s="5">
        <f t="shared" si="1"/>
        <v>0.30000000000000004</v>
      </c>
      <c r="I25" s="4" t="s">
        <v>17</v>
      </c>
      <c r="J25" s="4" t="s">
        <v>18</v>
      </c>
      <c r="K25" s="4" t="s">
        <v>34</v>
      </c>
    </row>
    <row r="26" spans="1:11" x14ac:dyDescent="0.25">
      <c r="A26" s="15" t="s">
        <v>31</v>
      </c>
      <c r="B26" s="3">
        <v>1025</v>
      </c>
      <c r="C26" s="4">
        <v>2877</v>
      </c>
      <c r="D26" s="4" t="s">
        <v>16</v>
      </c>
      <c r="E26" s="5">
        <v>11.4</v>
      </c>
      <c r="F26" s="5">
        <v>16.3</v>
      </c>
      <c r="G26" s="5">
        <f t="shared" si="0"/>
        <v>4.9000000000000004</v>
      </c>
      <c r="H26" s="5">
        <f t="shared" si="1"/>
        <v>0.49000000000000005</v>
      </c>
      <c r="I26" s="4" t="s">
        <v>26</v>
      </c>
      <c r="J26" s="4" t="s">
        <v>27</v>
      </c>
      <c r="K26" s="4" t="s">
        <v>33</v>
      </c>
    </row>
    <row r="27" spans="1:11" x14ac:dyDescent="0.25">
      <c r="A27" s="15" t="s">
        <v>31</v>
      </c>
      <c r="B27" s="3">
        <v>1026</v>
      </c>
      <c r="C27" s="4">
        <v>6119</v>
      </c>
      <c r="D27" s="4" t="s">
        <v>35</v>
      </c>
      <c r="E27" s="5">
        <v>9</v>
      </c>
      <c r="F27" s="5">
        <v>14</v>
      </c>
      <c r="G27" s="5">
        <f t="shared" si="0"/>
        <v>5</v>
      </c>
      <c r="H27" s="5">
        <f t="shared" si="1"/>
        <v>0.5</v>
      </c>
      <c r="I27" s="4" t="s">
        <v>26</v>
      </c>
      <c r="J27" s="4" t="s">
        <v>27</v>
      </c>
      <c r="K27" s="4" t="s">
        <v>15</v>
      </c>
    </row>
    <row r="28" spans="1:11" x14ac:dyDescent="0.25">
      <c r="A28" s="15" t="s">
        <v>31</v>
      </c>
      <c r="B28" s="3">
        <v>1027</v>
      </c>
      <c r="C28" s="4">
        <v>6119</v>
      </c>
      <c r="D28" s="4" t="s">
        <v>35</v>
      </c>
      <c r="E28" s="5">
        <v>9</v>
      </c>
      <c r="F28" s="5">
        <v>14</v>
      </c>
      <c r="G28" s="5">
        <f t="shared" si="0"/>
        <v>5</v>
      </c>
      <c r="H28" s="5">
        <f t="shared" si="1"/>
        <v>0.5</v>
      </c>
      <c r="I28" s="4" t="s">
        <v>13</v>
      </c>
      <c r="J28" s="4" t="s">
        <v>14</v>
      </c>
      <c r="K28" s="4" t="s">
        <v>33</v>
      </c>
    </row>
    <row r="29" spans="1:11" x14ac:dyDescent="0.25">
      <c r="A29" s="15" t="s">
        <v>31</v>
      </c>
      <c r="B29" s="3">
        <v>1028</v>
      </c>
      <c r="C29" s="4">
        <v>8722</v>
      </c>
      <c r="D29" s="4" t="s">
        <v>24</v>
      </c>
      <c r="E29" s="5">
        <v>344</v>
      </c>
      <c r="F29" s="5">
        <v>502</v>
      </c>
      <c r="G29" s="5">
        <f t="shared" si="0"/>
        <v>158</v>
      </c>
      <c r="H29" s="5">
        <f t="shared" si="1"/>
        <v>31.6</v>
      </c>
      <c r="I29" s="4" t="s">
        <v>13</v>
      </c>
      <c r="J29" s="4" t="s">
        <v>14</v>
      </c>
      <c r="K29" s="4" t="s">
        <v>23</v>
      </c>
    </row>
    <row r="30" spans="1:11" x14ac:dyDescent="0.25">
      <c r="A30" s="15" t="s">
        <v>31</v>
      </c>
      <c r="B30" s="3">
        <v>1029</v>
      </c>
      <c r="C30" s="4">
        <v>2499</v>
      </c>
      <c r="D30" s="4" t="s">
        <v>20</v>
      </c>
      <c r="E30" s="5">
        <v>6.2</v>
      </c>
      <c r="F30" s="5">
        <v>9.1999999999999993</v>
      </c>
      <c r="G30" s="5">
        <f t="shared" si="0"/>
        <v>2.9999999999999991</v>
      </c>
      <c r="H30" s="5">
        <f t="shared" si="1"/>
        <v>0.29999999999999993</v>
      </c>
      <c r="I30" s="4" t="s">
        <v>17</v>
      </c>
      <c r="J30" s="4" t="s">
        <v>18</v>
      </c>
      <c r="K30" s="4" t="s">
        <v>23</v>
      </c>
    </row>
    <row r="31" spans="1:11" x14ac:dyDescent="0.25">
      <c r="A31" s="15" t="s">
        <v>31</v>
      </c>
      <c r="B31" s="3">
        <v>1030</v>
      </c>
      <c r="C31" s="4">
        <v>4421</v>
      </c>
      <c r="D31" s="4" t="s">
        <v>29</v>
      </c>
      <c r="E31" s="5">
        <v>45</v>
      </c>
      <c r="F31" s="5">
        <v>87</v>
      </c>
      <c r="G31" s="5">
        <f t="shared" si="0"/>
        <v>42</v>
      </c>
      <c r="H31" s="5">
        <f t="shared" si="1"/>
        <v>8.4</v>
      </c>
      <c r="I31" s="4" t="s">
        <v>17</v>
      </c>
      <c r="J31" s="4" t="s">
        <v>18</v>
      </c>
      <c r="K31" s="4" t="s">
        <v>33</v>
      </c>
    </row>
    <row r="32" spans="1:11" x14ac:dyDescent="0.25">
      <c r="A32" s="15" t="s">
        <v>36</v>
      </c>
      <c r="B32" s="3">
        <v>1031</v>
      </c>
      <c r="C32" s="4">
        <v>1109</v>
      </c>
      <c r="D32" s="4" t="s">
        <v>25</v>
      </c>
      <c r="E32" s="5">
        <v>3</v>
      </c>
      <c r="F32" s="5">
        <v>8</v>
      </c>
      <c r="G32" s="5">
        <f t="shared" si="0"/>
        <v>5</v>
      </c>
      <c r="H32" s="5">
        <f t="shared" si="1"/>
        <v>0.5</v>
      </c>
      <c r="I32" s="4" t="s">
        <v>17</v>
      </c>
      <c r="J32" s="4" t="s">
        <v>18</v>
      </c>
      <c r="K32" s="4" t="s">
        <v>19</v>
      </c>
    </row>
    <row r="33" spans="1:11" x14ac:dyDescent="0.25">
      <c r="A33" s="15" t="s">
        <v>36</v>
      </c>
      <c r="B33" s="3">
        <v>1032</v>
      </c>
      <c r="C33" s="4">
        <v>2877</v>
      </c>
      <c r="D33" s="4" t="s">
        <v>16</v>
      </c>
      <c r="E33" s="5">
        <v>11.4</v>
      </c>
      <c r="F33" s="5">
        <v>16.3</v>
      </c>
      <c r="G33" s="5">
        <f t="shared" si="0"/>
        <v>4.9000000000000004</v>
      </c>
      <c r="H33" s="5">
        <f t="shared" si="1"/>
        <v>0.49000000000000005</v>
      </c>
      <c r="I33" s="4" t="s">
        <v>13</v>
      </c>
      <c r="J33" s="4" t="s">
        <v>14</v>
      </c>
      <c r="K33" s="4" t="s">
        <v>23</v>
      </c>
    </row>
    <row r="34" spans="1:11" x14ac:dyDescent="0.25">
      <c r="A34" s="15" t="s">
        <v>36</v>
      </c>
      <c r="B34" s="3">
        <v>1033</v>
      </c>
      <c r="C34" s="4">
        <v>9822</v>
      </c>
      <c r="D34" s="4" t="s">
        <v>12</v>
      </c>
      <c r="E34" s="5">
        <v>58.3</v>
      </c>
      <c r="F34" s="5">
        <v>98.4</v>
      </c>
      <c r="G34" s="5">
        <f t="shared" ref="G34:G65" si="2">F34-E34</f>
        <v>40.100000000000009</v>
      </c>
      <c r="H34" s="5">
        <f t="shared" ref="H34:H65" si="3">IF(F34&gt;50,G34*0.2,G34*0.1)</f>
        <v>8.0200000000000014</v>
      </c>
      <c r="I34" s="4" t="s">
        <v>17</v>
      </c>
      <c r="J34" s="4" t="s">
        <v>18</v>
      </c>
      <c r="K34" s="4" t="s">
        <v>19</v>
      </c>
    </row>
    <row r="35" spans="1:11" x14ac:dyDescent="0.25">
      <c r="A35" s="15" t="s">
        <v>36</v>
      </c>
      <c r="B35" s="3">
        <v>1034</v>
      </c>
      <c r="C35" s="4">
        <v>2877</v>
      </c>
      <c r="D35" s="4" t="s">
        <v>16</v>
      </c>
      <c r="E35" s="5">
        <v>11.4</v>
      </c>
      <c r="F35" s="5">
        <v>16.3</v>
      </c>
      <c r="G35" s="5">
        <f t="shared" si="2"/>
        <v>4.9000000000000004</v>
      </c>
      <c r="H35" s="5">
        <f t="shared" si="3"/>
        <v>0.49000000000000005</v>
      </c>
      <c r="I35" s="4" t="s">
        <v>17</v>
      </c>
      <c r="J35" s="4" t="s">
        <v>18</v>
      </c>
      <c r="K35" s="4" t="s">
        <v>28</v>
      </c>
    </row>
    <row r="36" spans="1:11" x14ac:dyDescent="0.25">
      <c r="A36" s="15" t="s">
        <v>36</v>
      </c>
      <c r="B36" s="3">
        <v>1035</v>
      </c>
      <c r="C36" s="4">
        <v>2499</v>
      </c>
      <c r="D36" s="4" t="s">
        <v>20</v>
      </c>
      <c r="E36" s="5">
        <v>6.2</v>
      </c>
      <c r="F36" s="5">
        <v>9.1999999999999993</v>
      </c>
      <c r="G36" s="5">
        <f t="shared" si="2"/>
        <v>2.9999999999999991</v>
      </c>
      <c r="H36" s="5">
        <f t="shared" si="3"/>
        <v>0.29999999999999993</v>
      </c>
      <c r="I36" s="4" t="s">
        <v>26</v>
      </c>
      <c r="J36" s="4" t="s">
        <v>27</v>
      </c>
      <c r="K36" s="4" t="s">
        <v>19</v>
      </c>
    </row>
    <row r="37" spans="1:11" x14ac:dyDescent="0.25">
      <c r="A37" s="15" t="s">
        <v>36</v>
      </c>
      <c r="B37" s="3">
        <v>1036</v>
      </c>
      <c r="C37" s="4">
        <v>2499</v>
      </c>
      <c r="D37" s="4" t="s">
        <v>20</v>
      </c>
      <c r="E37" s="5">
        <v>6.2</v>
      </c>
      <c r="F37" s="5">
        <v>9.1999999999999993</v>
      </c>
      <c r="G37" s="5">
        <f t="shared" si="2"/>
        <v>2.9999999999999991</v>
      </c>
      <c r="H37" s="5">
        <f t="shared" si="3"/>
        <v>0.29999999999999993</v>
      </c>
      <c r="I37" s="4" t="s">
        <v>17</v>
      </c>
      <c r="J37" s="4" t="s">
        <v>18</v>
      </c>
      <c r="K37" s="4" t="s">
        <v>33</v>
      </c>
    </row>
    <row r="38" spans="1:11" x14ac:dyDescent="0.25">
      <c r="A38" s="15" t="s">
        <v>36</v>
      </c>
      <c r="B38" s="3">
        <v>1037</v>
      </c>
      <c r="C38" s="4">
        <v>6622</v>
      </c>
      <c r="D38" s="4" t="s">
        <v>37</v>
      </c>
      <c r="E38" s="5">
        <v>42</v>
      </c>
      <c r="F38" s="5">
        <v>77</v>
      </c>
      <c r="G38" s="5">
        <f t="shared" si="2"/>
        <v>35</v>
      </c>
      <c r="H38" s="5">
        <f t="shared" si="3"/>
        <v>7</v>
      </c>
      <c r="I38" s="4" t="s">
        <v>17</v>
      </c>
      <c r="J38" s="4" t="s">
        <v>18</v>
      </c>
      <c r="K38" s="4" t="s">
        <v>33</v>
      </c>
    </row>
    <row r="39" spans="1:11" x14ac:dyDescent="0.25">
      <c r="A39" s="15" t="s">
        <v>36</v>
      </c>
      <c r="B39" s="3">
        <v>1038</v>
      </c>
      <c r="C39" s="4">
        <v>2499</v>
      </c>
      <c r="D39" s="4" t="s">
        <v>20</v>
      </c>
      <c r="E39" s="5">
        <v>6.2</v>
      </c>
      <c r="F39" s="5">
        <v>9.1999999999999993</v>
      </c>
      <c r="G39" s="5">
        <f t="shared" si="2"/>
        <v>2.9999999999999991</v>
      </c>
      <c r="H39" s="5">
        <f t="shared" si="3"/>
        <v>0.29999999999999993</v>
      </c>
      <c r="I39" s="4" t="s">
        <v>17</v>
      </c>
      <c r="J39" s="4" t="s">
        <v>18</v>
      </c>
      <c r="K39" s="4" t="s">
        <v>33</v>
      </c>
    </row>
    <row r="40" spans="1:11" x14ac:dyDescent="0.25">
      <c r="A40" s="15" t="s">
        <v>36</v>
      </c>
      <c r="B40" s="3">
        <v>1039</v>
      </c>
      <c r="C40" s="4">
        <v>2877</v>
      </c>
      <c r="D40" s="4" t="s">
        <v>16</v>
      </c>
      <c r="E40" s="5">
        <v>11.4</v>
      </c>
      <c r="F40" s="5">
        <v>16.3</v>
      </c>
      <c r="G40" s="5">
        <f t="shared" si="2"/>
        <v>4.9000000000000004</v>
      </c>
      <c r="H40" s="5">
        <f t="shared" si="3"/>
        <v>0.49000000000000005</v>
      </c>
      <c r="I40" s="4" t="s">
        <v>17</v>
      </c>
      <c r="J40" s="4" t="s">
        <v>18</v>
      </c>
      <c r="K40" s="4" t="s">
        <v>19</v>
      </c>
    </row>
    <row r="41" spans="1:11" x14ac:dyDescent="0.25">
      <c r="A41" s="15" t="s">
        <v>36</v>
      </c>
      <c r="B41" s="3">
        <v>1040</v>
      </c>
      <c r="C41" s="4">
        <v>1109</v>
      </c>
      <c r="D41" s="4" t="s">
        <v>25</v>
      </c>
      <c r="E41" s="5">
        <v>3</v>
      </c>
      <c r="F41" s="5">
        <v>8</v>
      </c>
      <c r="G41" s="5">
        <f t="shared" si="2"/>
        <v>5</v>
      </c>
      <c r="H41" s="5">
        <f t="shared" si="3"/>
        <v>0.5</v>
      </c>
      <c r="I41" s="4" t="s">
        <v>17</v>
      </c>
      <c r="J41" s="4" t="s">
        <v>18</v>
      </c>
      <c r="K41" s="4" t="s">
        <v>23</v>
      </c>
    </row>
    <row r="42" spans="1:11" x14ac:dyDescent="0.25">
      <c r="A42" s="15" t="s">
        <v>36</v>
      </c>
      <c r="B42" s="3">
        <v>1041</v>
      </c>
      <c r="C42" s="4">
        <v>2499</v>
      </c>
      <c r="D42" s="4" t="s">
        <v>20</v>
      </c>
      <c r="E42" s="5">
        <v>6.2</v>
      </c>
      <c r="F42" s="5">
        <v>9.1999999999999993</v>
      </c>
      <c r="G42" s="5">
        <f t="shared" si="2"/>
        <v>2.9999999999999991</v>
      </c>
      <c r="H42" s="5">
        <f t="shared" si="3"/>
        <v>0.29999999999999993</v>
      </c>
      <c r="I42" s="4" t="s">
        <v>13</v>
      </c>
      <c r="J42" s="4" t="s">
        <v>14</v>
      </c>
      <c r="K42" s="4" t="s">
        <v>15</v>
      </c>
    </row>
    <row r="43" spans="1:11" x14ac:dyDescent="0.25">
      <c r="A43" s="15" t="s">
        <v>36</v>
      </c>
      <c r="B43" s="3">
        <v>1042</v>
      </c>
      <c r="C43" s="4">
        <v>8722</v>
      </c>
      <c r="D43" s="4" t="s">
        <v>24</v>
      </c>
      <c r="E43" s="5">
        <v>344</v>
      </c>
      <c r="F43" s="5">
        <v>502</v>
      </c>
      <c r="G43" s="5">
        <f t="shared" si="2"/>
        <v>158</v>
      </c>
      <c r="H43" s="5">
        <f t="shared" si="3"/>
        <v>31.6</v>
      </c>
      <c r="I43" s="4" t="s">
        <v>21</v>
      </c>
      <c r="J43" s="4" t="s">
        <v>22</v>
      </c>
      <c r="K43" s="4" t="s">
        <v>15</v>
      </c>
    </row>
    <row r="44" spans="1:11" x14ac:dyDescent="0.25">
      <c r="A44" s="15" t="s">
        <v>36</v>
      </c>
      <c r="B44" s="3">
        <v>1043</v>
      </c>
      <c r="C44" s="4">
        <v>2242</v>
      </c>
      <c r="D44" s="4" t="s">
        <v>32</v>
      </c>
      <c r="E44" s="5">
        <v>60</v>
      </c>
      <c r="F44" s="5">
        <v>124</v>
      </c>
      <c r="G44" s="5">
        <f t="shared" si="2"/>
        <v>64</v>
      </c>
      <c r="H44" s="5">
        <f t="shared" si="3"/>
        <v>12.8</v>
      </c>
      <c r="I44" s="4" t="s">
        <v>21</v>
      </c>
      <c r="J44" s="4" t="s">
        <v>22</v>
      </c>
      <c r="K44" s="4" t="s">
        <v>19</v>
      </c>
    </row>
    <row r="45" spans="1:11" x14ac:dyDescent="0.25">
      <c r="A45" s="15" t="s">
        <v>36</v>
      </c>
      <c r="B45" s="3">
        <v>1044</v>
      </c>
      <c r="C45" s="4">
        <v>2877</v>
      </c>
      <c r="D45" s="4" t="s">
        <v>16</v>
      </c>
      <c r="E45" s="5">
        <v>11.4</v>
      </c>
      <c r="F45" s="5">
        <v>16.3</v>
      </c>
      <c r="G45" s="5">
        <f t="shared" si="2"/>
        <v>4.9000000000000004</v>
      </c>
      <c r="H45" s="5">
        <f t="shared" si="3"/>
        <v>0.49000000000000005</v>
      </c>
      <c r="I45" s="4" t="s">
        <v>21</v>
      </c>
      <c r="J45" s="4" t="s">
        <v>22</v>
      </c>
      <c r="K45" s="4" t="s">
        <v>19</v>
      </c>
    </row>
    <row r="46" spans="1:11" x14ac:dyDescent="0.25">
      <c r="A46" s="15" t="s">
        <v>36</v>
      </c>
      <c r="B46" s="3">
        <v>1045</v>
      </c>
      <c r="C46" s="4">
        <v>8722</v>
      </c>
      <c r="D46" s="4" t="s">
        <v>24</v>
      </c>
      <c r="E46" s="5">
        <v>344</v>
      </c>
      <c r="F46" s="5">
        <v>502</v>
      </c>
      <c r="G46" s="5">
        <f t="shared" si="2"/>
        <v>158</v>
      </c>
      <c r="H46" s="5">
        <f t="shared" si="3"/>
        <v>31.6</v>
      </c>
      <c r="I46" s="4" t="s">
        <v>26</v>
      </c>
      <c r="J46" s="4" t="s">
        <v>27</v>
      </c>
      <c r="K46" s="4" t="s">
        <v>23</v>
      </c>
    </row>
    <row r="47" spans="1:11" x14ac:dyDescent="0.25">
      <c r="A47" s="15" t="s">
        <v>55</v>
      </c>
      <c r="B47" s="3">
        <v>1046</v>
      </c>
      <c r="C47" s="4">
        <v>6119</v>
      </c>
      <c r="D47" s="4" t="s">
        <v>35</v>
      </c>
      <c r="E47" s="5">
        <v>9</v>
      </c>
      <c r="F47" s="5">
        <v>14</v>
      </c>
      <c r="G47" s="5">
        <f t="shared" si="2"/>
        <v>5</v>
      </c>
      <c r="H47" s="5">
        <f t="shared" si="3"/>
        <v>0.5</v>
      </c>
      <c r="I47" s="4" t="s">
        <v>17</v>
      </c>
      <c r="J47" s="4" t="s">
        <v>18</v>
      </c>
      <c r="K47" s="4" t="s">
        <v>34</v>
      </c>
    </row>
    <row r="48" spans="1:11" x14ac:dyDescent="0.25">
      <c r="A48" s="15" t="s">
        <v>55</v>
      </c>
      <c r="B48" s="3">
        <v>1047</v>
      </c>
      <c r="C48" s="4">
        <v>6622</v>
      </c>
      <c r="D48" s="4" t="s">
        <v>37</v>
      </c>
      <c r="E48" s="5">
        <v>42</v>
      </c>
      <c r="F48" s="5">
        <v>77</v>
      </c>
      <c r="G48" s="5">
        <f t="shared" si="2"/>
        <v>35</v>
      </c>
      <c r="H48" s="5">
        <f t="shared" si="3"/>
        <v>7</v>
      </c>
      <c r="I48" s="4" t="s">
        <v>26</v>
      </c>
      <c r="J48" s="4" t="s">
        <v>27</v>
      </c>
      <c r="K48" s="4" t="s">
        <v>23</v>
      </c>
    </row>
    <row r="49" spans="1:11" x14ac:dyDescent="0.25">
      <c r="A49" s="15" t="s">
        <v>55</v>
      </c>
      <c r="B49" s="3">
        <v>1048</v>
      </c>
      <c r="C49" s="4">
        <v>8722</v>
      </c>
      <c r="D49" s="4" t="s">
        <v>24</v>
      </c>
      <c r="E49" s="5">
        <v>344</v>
      </c>
      <c r="F49" s="5">
        <v>502</v>
      </c>
      <c r="G49" s="5">
        <f t="shared" si="2"/>
        <v>158</v>
      </c>
      <c r="H49" s="5">
        <f t="shared" si="3"/>
        <v>31.6</v>
      </c>
      <c r="I49" s="4" t="s">
        <v>13</v>
      </c>
      <c r="J49" s="4" t="s">
        <v>14</v>
      </c>
      <c r="K49" s="4" t="s">
        <v>23</v>
      </c>
    </row>
    <row r="50" spans="1:11" x14ac:dyDescent="0.25">
      <c r="A50" s="15" t="s">
        <v>55</v>
      </c>
      <c r="B50" s="3">
        <v>1049</v>
      </c>
      <c r="C50" s="4">
        <v>2499</v>
      </c>
      <c r="D50" s="4" t="s">
        <v>20</v>
      </c>
      <c r="E50" s="5">
        <v>6.2</v>
      </c>
      <c r="F50" s="5">
        <v>9.1999999999999993</v>
      </c>
      <c r="G50" s="5">
        <f t="shared" si="2"/>
        <v>2.9999999999999991</v>
      </c>
      <c r="H50" s="5">
        <f t="shared" si="3"/>
        <v>0.29999999999999993</v>
      </c>
      <c r="I50" s="4" t="s">
        <v>13</v>
      </c>
      <c r="J50" s="4" t="s">
        <v>14</v>
      </c>
      <c r="K50" s="4" t="s">
        <v>28</v>
      </c>
    </row>
    <row r="51" spans="1:11" x14ac:dyDescent="0.25">
      <c r="A51" s="15" t="s">
        <v>55</v>
      </c>
      <c r="B51" s="3">
        <v>1050</v>
      </c>
      <c r="C51" s="4">
        <v>2877</v>
      </c>
      <c r="D51" s="4" t="s">
        <v>16</v>
      </c>
      <c r="E51" s="5">
        <v>11.4</v>
      </c>
      <c r="F51" s="5">
        <v>16.3</v>
      </c>
      <c r="G51" s="5">
        <f t="shared" si="2"/>
        <v>4.9000000000000004</v>
      </c>
      <c r="H51" s="5">
        <f t="shared" si="3"/>
        <v>0.49000000000000005</v>
      </c>
      <c r="I51" s="4" t="s">
        <v>13</v>
      </c>
      <c r="J51" s="4" t="s">
        <v>14</v>
      </c>
      <c r="K51" s="4" t="s">
        <v>23</v>
      </c>
    </row>
    <row r="52" spans="1:11" x14ac:dyDescent="0.25">
      <c r="A52" s="15" t="s">
        <v>55</v>
      </c>
      <c r="B52" s="3">
        <v>1051</v>
      </c>
      <c r="C52" s="4">
        <v>6119</v>
      </c>
      <c r="D52" s="4" t="s">
        <v>35</v>
      </c>
      <c r="E52" s="5">
        <v>9</v>
      </c>
      <c r="F52" s="5">
        <v>14</v>
      </c>
      <c r="G52" s="5">
        <f t="shared" si="2"/>
        <v>5</v>
      </c>
      <c r="H52" s="5">
        <f t="shared" si="3"/>
        <v>0.5</v>
      </c>
      <c r="I52" s="4" t="s">
        <v>21</v>
      </c>
      <c r="J52" s="4" t="s">
        <v>22</v>
      </c>
      <c r="K52" s="4" t="s">
        <v>34</v>
      </c>
    </row>
    <row r="53" spans="1:11" x14ac:dyDescent="0.25">
      <c r="A53" s="15" t="s">
        <v>55</v>
      </c>
      <c r="B53" s="3">
        <v>1052</v>
      </c>
      <c r="C53" s="4">
        <v>6622</v>
      </c>
      <c r="D53" s="4" t="s">
        <v>37</v>
      </c>
      <c r="E53" s="5">
        <v>42</v>
      </c>
      <c r="F53" s="5">
        <v>77</v>
      </c>
      <c r="G53" s="5">
        <f t="shared" si="2"/>
        <v>35</v>
      </c>
      <c r="H53" s="5">
        <f t="shared" si="3"/>
        <v>7</v>
      </c>
      <c r="I53" s="4" t="s">
        <v>21</v>
      </c>
      <c r="J53" s="4" t="s">
        <v>22</v>
      </c>
      <c r="K53" s="4" t="s">
        <v>23</v>
      </c>
    </row>
    <row r="54" spans="1:11" x14ac:dyDescent="0.25">
      <c r="A54" s="15" t="s">
        <v>55</v>
      </c>
      <c r="B54" s="3">
        <v>1053</v>
      </c>
      <c r="C54" s="4">
        <v>2242</v>
      </c>
      <c r="D54" s="4" t="s">
        <v>32</v>
      </c>
      <c r="E54" s="5">
        <v>60</v>
      </c>
      <c r="F54" s="5">
        <v>124</v>
      </c>
      <c r="G54" s="5">
        <f t="shared" si="2"/>
        <v>64</v>
      </c>
      <c r="H54" s="5">
        <f t="shared" si="3"/>
        <v>12.8</v>
      </c>
      <c r="I54" s="4" t="s">
        <v>13</v>
      </c>
      <c r="J54" s="4" t="s">
        <v>14</v>
      </c>
      <c r="K54" s="4" t="s">
        <v>19</v>
      </c>
    </row>
    <row r="55" spans="1:11" x14ac:dyDescent="0.25">
      <c r="A55" s="15" t="s">
        <v>55</v>
      </c>
      <c r="B55" s="3">
        <v>1054</v>
      </c>
      <c r="C55" s="4">
        <v>4421</v>
      </c>
      <c r="D55" s="4" t="s">
        <v>29</v>
      </c>
      <c r="E55" s="5">
        <v>45</v>
      </c>
      <c r="F55" s="5">
        <v>87</v>
      </c>
      <c r="G55" s="5">
        <f t="shared" si="2"/>
        <v>42</v>
      </c>
      <c r="H55" s="5">
        <f t="shared" si="3"/>
        <v>8.4</v>
      </c>
      <c r="I55" s="4" t="s">
        <v>21</v>
      </c>
      <c r="J55" s="4" t="s">
        <v>22</v>
      </c>
      <c r="K55" s="4" t="s">
        <v>33</v>
      </c>
    </row>
    <row r="56" spans="1:11" x14ac:dyDescent="0.25">
      <c r="A56" s="15" t="s">
        <v>55</v>
      </c>
      <c r="B56" s="3">
        <v>1055</v>
      </c>
      <c r="C56" s="4">
        <v>6119</v>
      </c>
      <c r="D56" s="4" t="s">
        <v>35</v>
      </c>
      <c r="E56" s="5">
        <v>9</v>
      </c>
      <c r="F56" s="5">
        <v>14</v>
      </c>
      <c r="G56" s="5">
        <f t="shared" si="2"/>
        <v>5</v>
      </c>
      <c r="H56" s="5">
        <f t="shared" si="3"/>
        <v>0.5</v>
      </c>
      <c r="I56" s="4" t="s">
        <v>17</v>
      </c>
      <c r="J56" s="4" t="s">
        <v>18</v>
      </c>
      <c r="K56" s="4" t="s">
        <v>33</v>
      </c>
    </row>
    <row r="57" spans="1:11" x14ac:dyDescent="0.25">
      <c r="A57" s="15" t="s">
        <v>55</v>
      </c>
      <c r="B57" s="3">
        <v>1056</v>
      </c>
      <c r="C57" s="4">
        <v>1109</v>
      </c>
      <c r="D57" s="4" t="s">
        <v>25</v>
      </c>
      <c r="E57" s="5">
        <v>3</v>
      </c>
      <c r="F57" s="5">
        <v>8</v>
      </c>
      <c r="G57" s="5">
        <f t="shared" si="2"/>
        <v>5</v>
      </c>
      <c r="H57" s="5">
        <f t="shared" si="3"/>
        <v>0.5</v>
      </c>
      <c r="I57" s="4" t="s">
        <v>21</v>
      </c>
      <c r="J57" s="4" t="s">
        <v>22</v>
      </c>
      <c r="K57" s="4" t="s">
        <v>19</v>
      </c>
    </row>
    <row r="58" spans="1:11" x14ac:dyDescent="0.25">
      <c r="A58" s="15" t="s">
        <v>55</v>
      </c>
      <c r="B58" s="3">
        <v>1057</v>
      </c>
      <c r="C58" s="4">
        <v>2499</v>
      </c>
      <c r="D58" s="4" t="s">
        <v>20</v>
      </c>
      <c r="E58" s="5">
        <v>6.2</v>
      </c>
      <c r="F58" s="5">
        <v>9.1999999999999993</v>
      </c>
      <c r="G58" s="5">
        <f t="shared" si="2"/>
        <v>2.9999999999999991</v>
      </c>
      <c r="H58" s="5">
        <f t="shared" si="3"/>
        <v>0.29999999999999993</v>
      </c>
      <c r="I58" s="4" t="s">
        <v>17</v>
      </c>
      <c r="J58" s="4" t="s">
        <v>18</v>
      </c>
      <c r="K58" s="4" t="s">
        <v>19</v>
      </c>
    </row>
    <row r="59" spans="1:11" x14ac:dyDescent="0.25">
      <c r="A59" s="15" t="s">
        <v>55</v>
      </c>
      <c r="B59" s="3">
        <v>1058</v>
      </c>
      <c r="C59" s="4">
        <v>6119</v>
      </c>
      <c r="D59" s="4" t="s">
        <v>35</v>
      </c>
      <c r="E59" s="5">
        <v>9</v>
      </c>
      <c r="F59" s="5">
        <v>14</v>
      </c>
      <c r="G59" s="5">
        <f t="shared" si="2"/>
        <v>5</v>
      </c>
      <c r="H59" s="5">
        <f t="shared" si="3"/>
        <v>0.5</v>
      </c>
      <c r="I59" s="4" t="s">
        <v>26</v>
      </c>
      <c r="J59" s="4" t="s">
        <v>27</v>
      </c>
      <c r="K59" s="4" t="s">
        <v>23</v>
      </c>
    </row>
    <row r="60" spans="1:11" x14ac:dyDescent="0.25">
      <c r="A60" s="15" t="s">
        <v>55</v>
      </c>
      <c r="B60" s="3">
        <v>1059</v>
      </c>
      <c r="C60" s="4">
        <v>2242</v>
      </c>
      <c r="D60" s="4" t="s">
        <v>32</v>
      </c>
      <c r="E60" s="5">
        <v>60</v>
      </c>
      <c r="F60" s="5">
        <v>124</v>
      </c>
      <c r="G60" s="5">
        <f t="shared" si="2"/>
        <v>64</v>
      </c>
      <c r="H60" s="5">
        <f t="shared" si="3"/>
        <v>12.8</v>
      </c>
      <c r="I60" s="4" t="s">
        <v>21</v>
      </c>
      <c r="J60" s="4" t="s">
        <v>22</v>
      </c>
      <c r="K60" s="4" t="s">
        <v>23</v>
      </c>
    </row>
    <row r="61" spans="1:11" x14ac:dyDescent="0.25">
      <c r="A61" s="15" t="s">
        <v>38</v>
      </c>
      <c r="B61" s="3">
        <v>1060</v>
      </c>
      <c r="C61" s="4">
        <v>6119</v>
      </c>
      <c r="D61" s="4" t="s">
        <v>35</v>
      </c>
      <c r="E61" s="5">
        <v>9</v>
      </c>
      <c r="F61" s="5">
        <v>14</v>
      </c>
      <c r="G61" s="5">
        <f t="shared" si="2"/>
        <v>5</v>
      </c>
      <c r="H61" s="5">
        <f t="shared" si="3"/>
        <v>0.5</v>
      </c>
      <c r="I61" s="4" t="s">
        <v>21</v>
      </c>
      <c r="J61" s="4" t="s">
        <v>22</v>
      </c>
      <c r="K61" s="4" t="s">
        <v>33</v>
      </c>
    </row>
    <row r="62" spans="1:11" x14ac:dyDescent="0.25">
      <c r="A62" s="15" t="s">
        <v>38</v>
      </c>
      <c r="B62" s="3">
        <v>1061</v>
      </c>
      <c r="C62" s="4">
        <v>1109</v>
      </c>
      <c r="D62" s="4" t="s">
        <v>25</v>
      </c>
      <c r="E62" s="5">
        <v>3</v>
      </c>
      <c r="F62" s="5">
        <v>8</v>
      </c>
      <c r="G62" s="5">
        <f t="shared" si="2"/>
        <v>5</v>
      </c>
      <c r="H62" s="5">
        <f t="shared" si="3"/>
        <v>0.5</v>
      </c>
      <c r="I62" s="4" t="s">
        <v>21</v>
      </c>
      <c r="J62" s="4" t="s">
        <v>22</v>
      </c>
      <c r="K62" s="4" t="s">
        <v>33</v>
      </c>
    </row>
    <row r="63" spans="1:11" x14ac:dyDescent="0.25">
      <c r="A63" s="15" t="s">
        <v>38</v>
      </c>
      <c r="B63" s="3">
        <v>1062</v>
      </c>
      <c r="C63" s="4">
        <v>2499</v>
      </c>
      <c r="D63" s="4" t="s">
        <v>20</v>
      </c>
      <c r="E63" s="5">
        <v>6.2</v>
      </c>
      <c r="F63" s="5">
        <v>9.1999999999999993</v>
      </c>
      <c r="G63" s="5">
        <f t="shared" si="2"/>
        <v>2.9999999999999991</v>
      </c>
      <c r="H63" s="5">
        <f t="shared" si="3"/>
        <v>0.29999999999999993</v>
      </c>
      <c r="I63" s="4" t="s">
        <v>13</v>
      </c>
      <c r="J63" s="4" t="s">
        <v>14</v>
      </c>
      <c r="K63" s="4" t="s">
        <v>23</v>
      </c>
    </row>
    <row r="64" spans="1:11" x14ac:dyDescent="0.25">
      <c r="A64" s="15" t="s">
        <v>38</v>
      </c>
      <c r="B64" s="3">
        <v>1063</v>
      </c>
      <c r="C64" s="4">
        <v>1109</v>
      </c>
      <c r="D64" s="4" t="s">
        <v>25</v>
      </c>
      <c r="E64" s="5">
        <v>3</v>
      </c>
      <c r="F64" s="5">
        <v>8</v>
      </c>
      <c r="G64" s="5">
        <f t="shared" si="2"/>
        <v>5</v>
      </c>
      <c r="H64" s="5">
        <f t="shared" si="3"/>
        <v>0.5</v>
      </c>
      <c r="I64" s="4" t="s">
        <v>21</v>
      </c>
      <c r="J64" s="4" t="s">
        <v>22</v>
      </c>
      <c r="K64" s="4" t="s">
        <v>19</v>
      </c>
    </row>
    <row r="65" spans="1:11" x14ac:dyDescent="0.25">
      <c r="A65" s="15" t="s">
        <v>38</v>
      </c>
      <c r="B65" s="3">
        <v>1064</v>
      </c>
      <c r="C65" s="4">
        <v>2499</v>
      </c>
      <c r="D65" s="4" t="s">
        <v>20</v>
      </c>
      <c r="E65" s="5">
        <v>6.2</v>
      </c>
      <c r="F65" s="5">
        <v>9.1999999999999993</v>
      </c>
      <c r="G65" s="5">
        <f t="shared" si="2"/>
        <v>2.9999999999999991</v>
      </c>
      <c r="H65" s="5">
        <f t="shared" si="3"/>
        <v>0.29999999999999993</v>
      </c>
      <c r="I65" s="4" t="s">
        <v>26</v>
      </c>
      <c r="J65" s="4" t="s">
        <v>27</v>
      </c>
      <c r="K65" s="4" t="s">
        <v>23</v>
      </c>
    </row>
    <row r="66" spans="1:11" x14ac:dyDescent="0.25">
      <c r="A66" s="15" t="s">
        <v>38</v>
      </c>
      <c r="B66" s="3">
        <v>1065</v>
      </c>
      <c r="C66" s="4">
        <v>2499</v>
      </c>
      <c r="D66" s="4" t="s">
        <v>20</v>
      </c>
      <c r="E66" s="5">
        <v>6.2</v>
      </c>
      <c r="F66" s="5">
        <v>9.1999999999999993</v>
      </c>
      <c r="G66" s="5">
        <f t="shared" ref="G66:G97" si="4">F66-E66</f>
        <v>2.9999999999999991</v>
      </c>
      <c r="H66" s="5">
        <f t="shared" ref="H66:H97" si="5">IF(F66&gt;50,G66*0.2,G66*0.1)</f>
        <v>0.29999999999999993</v>
      </c>
      <c r="I66" s="4" t="s">
        <v>21</v>
      </c>
      <c r="J66" s="4" t="s">
        <v>22</v>
      </c>
      <c r="K66" s="4" t="s">
        <v>15</v>
      </c>
    </row>
    <row r="67" spans="1:11" x14ac:dyDescent="0.25">
      <c r="A67" s="15" t="s">
        <v>38</v>
      </c>
      <c r="B67" s="3">
        <v>1066</v>
      </c>
      <c r="C67" s="4">
        <v>2877</v>
      </c>
      <c r="D67" s="4" t="s">
        <v>16</v>
      </c>
      <c r="E67" s="5">
        <v>11.4</v>
      </c>
      <c r="F67" s="5">
        <v>16.3</v>
      </c>
      <c r="G67" s="5">
        <f t="shared" si="4"/>
        <v>4.9000000000000004</v>
      </c>
      <c r="H67" s="5">
        <f t="shared" si="5"/>
        <v>0.49000000000000005</v>
      </c>
      <c r="I67" s="4" t="s">
        <v>21</v>
      </c>
      <c r="J67" s="4" t="s">
        <v>22</v>
      </c>
      <c r="K67" s="4" t="s">
        <v>33</v>
      </c>
    </row>
    <row r="68" spans="1:11" x14ac:dyDescent="0.25">
      <c r="A68" s="15" t="s">
        <v>38</v>
      </c>
      <c r="B68" s="3">
        <v>1067</v>
      </c>
      <c r="C68" s="4">
        <v>2877</v>
      </c>
      <c r="D68" s="4" t="s">
        <v>16</v>
      </c>
      <c r="E68" s="5">
        <v>11.4</v>
      </c>
      <c r="F68" s="5">
        <v>16.3</v>
      </c>
      <c r="G68" s="5">
        <f t="shared" si="4"/>
        <v>4.9000000000000004</v>
      </c>
      <c r="H68" s="5">
        <f t="shared" si="5"/>
        <v>0.49000000000000005</v>
      </c>
      <c r="I68" s="4" t="s">
        <v>21</v>
      </c>
      <c r="J68" s="4" t="s">
        <v>22</v>
      </c>
      <c r="K68" s="4" t="s">
        <v>34</v>
      </c>
    </row>
    <row r="69" spans="1:11" x14ac:dyDescent="0.25">
      <c r="A69" s="15" t="s">
        <v>38</v>
      </c>
      <c r="B69" s="3">
        <v>1068</v>
      </c>
      <c r="C69" s="4">
        <v>6119</v>
      </c>
      <c r="D69" s="4" t="s">
        <v>35</v>
      </c>
      <c r="E69" s="5">
        <v>9</v>
      </c>
      <c r="F69" s="5">
        <v>14</v>
      </c>
      <c r="G69" s="5">
        <f t="shared" si="4"/>
        <v>5</v>
      </c>
      <c r="H69" s="5">
        <f t="shared" si="5"/>
        <v>0.5</v>
      </c>
      <c r="I69" s="4" t="s">
        <v>17</v>
      </c>
      <c r="J69" s="4" t="s">
        <v>18</v>
      </c>
      <c r="K69" s="4" t="s">
        <v>19</v>
      </c>
    </row>
    <row r="70" spans="1:11" x14ac:dyDescent="0.25">
      <c r="A70" s="15" t="s">
        <v>38</v>
      </c>
      <c r="B70" s="3">
        <v>1069</v>
      </c>
      <c r="C70" s="4">
        <v>1109</v>
      </c>
      <c r="D70" s="4" t="s">
        <v>25</v>
      </c>
      <c r="E70" s="5">
        <v>3</v>
      </c>
      <c r="F70" s="5">
        <v>8</v>
      </c>
      <c r="G70" s="5">
        <f t="shared" si="4"/>
        <v>5</v>
      </c>
      <c r="H70" s="5">
        <f t="shared" si="5"/>
        <v>0.5</v>
      </c>
      <c r="I70" s="4" t="s">
        <v>21</v>
      </c>
      <c r="J70" s="4" t="s">
        <v>22</v>
      </c>
      <c r="K70" s="4" t="s">
        <v>23</v>
      </c>
    </row>
    <row r="71" spans="1:11" x14ac:dyDescent="0.25">
      <c r="A71" s="15" t="s">
        <v>38</v>
      </c>
      <c r="B71" s="3">
        <v>1070</v>
      </c>
      <c r="C71" s="4">
        <v>2499</v>
      </c>
      <c r="D71" s="4" t="s">
        <v>20</v>
      </c>
      <c r="E71" s="5">
        <v>6.2</v>
      </c>
      <c r="F71" s="5">
        <v>9.1999999999999993</v>
      </c>
      <c r="G71" s="5">
        <f t="shared" si="4"/>
        <v>2.9999999999999991</v>
      </c>
      <c r="H71" s="5">
        <f t="shared" si="5"/>
        <v>0.29999999999999993</v>
      </c>
      <c r="I71" s="4" t="s">
        <v>26</v>
      </c>
      <c r="J71" s="4" t="s">
        <v>27</v>
      </c>
      <c r="K71" s="4" t="s">
        <v>23</v>
      </c>
    </row>
    <row r="72" spans="1:11" x14ac:dyDescent="0.25">
      <c r="A72" s="15" t="s">
        <v>38</v>
      </c>
      <c r="B72" s="3">
        <v>1071</v>
      </c>
      <c r="C72" s="4">
        <v>1109</v>
      </c>
      <c r="D72" s="4" t="s">
        <v>25</v>
      </c>
      <c r="E72" s="5">
        <v>3</v>
      </c>
      <c r="F72" s="5">
        <v>8</v>
      </c>
      <c r="G72" s="5">
        <f t="shared" si="4"/>
        <v>5</v>
      </c>
      <c r="H72" s="5">
        <f t="shared" si="5"/>
        <v>0.5</v>
      </c>
      <c r="I72" s="4" t="s">
        <v>13</v>
      </c>
      <c r="J72" s="4" t="s">
        <v>14</v>
      </c>
      <c r="K72" s="4" t="s">
        <v>23</v>
      </c>
    </row>
    <row r="73" spans="1:11" x14ac:dyDescent="0.25">
      <c r="A73" s="15" t="s">
        <v>38</v>
      </c>
      <c r="B73" s="3">
        <v>1072</v>
      </c>
      <c r="C73" s="4">
        <v>1109</v>
      </c>
      <c r="D73" s="4" t="s">
        <v>25</v>
      </c>
      <c r="E73" s="5">
        <v>3</v>
      </c>
      <c r="F73" s="5">
        <v>8</v>
      </c>
      <c r="G73" s="5">
        <f t="shared" si="4"/>
        <v>5</v>
      </c>
      <c r="H73" s="5">
        <f t="shared" si="5"/>
        <v>0.5</v>
      </c>
      <c r="I73" s="4" t="s">
        <v>21</v>
      </c>
      <c r="J73" s="4" t="s">
        <v>22</v>
      </c>
      <c r="K73" s="4" t="s">
        <v>33</v>
      </c>
    </row>
    <row r="74" spans="1:11" x14ac:dyDescent="0.25">
      <c r="A74" s="15" t="s">
        <v>38</v>
      </c>
      <c r="B74" s="3">
        <v>1073</v>
      </c>
      <c r="C74" s="4">
        <v>6622</v>
      </c>
      <c r="D74" s="4" t="s">
        <v>37</v>
      </c>
      <c r="E74" s="5">
        <v>42</v>
      </c>
      <c r="F74" s="5">
        <v>77</v>
      </c>
      <c r="G74" s="5">
        <f t="shared" si="4"/>
        <v>35</v>
      </c>
      <c r="H74" s="5">
        <f t="shared" si="5"/>
        <v>7</v>
      </c>
      <c r="I74" s="4" t="s">
        <v>21</v>
      </c>
      <c r="J74" s="4" t="s">
        <v>22</v>
      </c>
      <c r="K74" s="4" t="s">
        <v>19</v>
      </c>
    </row>
    <row r="75" spans="1:11" x14ac:dyDescent="0.25">
      <c r="A75" s="15" t="s">
        <v>56</v>
      </c>
      <c r="B75" s="3">
        <v>1074</v>
      </c>
      <c r="C75" s="4">
        <v>2877</v>
      </c>
      <c r="D75" s="4" t="s">
        <v>16</v>
      </c>
      <c r="E75" s="5">
        <v>11.4</v>
      </c>
      <c r="F75" s="5">
        <v>16.3</v>
      </c>
      <c r="G75" s="5">
        <f t="shared" si="4"/>
        <v>4.9000000000000004</v>
      </c>
      <c r="H75" s="5">
        <f t="shared" si="5"/>
        <v>0.49000000000000005</v>
      </c>
      <c r="I75" s="4" t="s">
        <v>21</v>
      </c>
      <c r="J75" s="4" t="s">
        <v>22</v>
      </c>
      <c r="K75" s="4" t="s">
        <v>23</v>
      </c>
    </row>
    <row r="76" spans="1:11" x14ac:dyDescent="0.25">
      <c r="A76" s="15" t="s">
        <v>56</v>
      </c>
      <c r="B76" s="3">
        <v>1075</v>
      </c>
      <c r="C76" s="4">
        <v>1109</v>
      </c>
      <c r="D76" s="4" t="s">
        <v>25</v>
      </c>
      <c r="E76" s="5">
        <v>3</v>
      </c>
      <c r="F76" s="5">
        <v>8</v>
      </c>
      <c r="G76" s="5">
        <f t="shared" si="4"/>
        <v>5</v>
      </c>
      <c r="H76" s="5">
        <f t="shared" si="5"/>
        <v>0.5</v>
      </c>
      <c r="I76" s="4" t="s">
        <v>26</v>
      </c>
      <c r="J76" s="4" t="s">
        <v>27</v>
      </c>
      <c r="K76" s="4" t="s">
        <v>19</v>
      </c>
    </row>
    <row r="77" spans="1:11" x14ac:dyDescent="0.25">
      <c r="A77" s="15" t="s">
        <v>56</v>
      </c>
      <c r="B77" s="3">
        <v>1076</v>
      </c>
      <c r="C77" s="4">
        <v>1109</v>
      </c>
      <c r="D77" s="4" t="s">
        <v>25</v>
      </c>
      <c r="E77" s="5">
        <v>3</v>
      </c>
      <c r="F77" s="5">
        <v>8</v>
      </c>
      <c r="G77" s="5">
        <f t="shared" si="4"/>
        <v>5</v>
      </c>
      <c r="H77" s="5">
        <f t="shared" si="5"/>
        <v>0.5</v>
      </c>
      <c r="I77" s="4" t="s">
        <v>17</v>
      </c>
      <c r="J77" s="4" t="s">
        <v>18</v>
      </c>
      <c r="K77" s="4" t="s">
        <v>23</v>
      </c>
    </row>
    <row r="78" spans="1:11" x14ac:dyDescent="0.25">
      <c r="A78" s="15" t="s">
        <v>56</v>
      </c>
      <c r="B78" s="3">
        <v>1077</v>
      </c>
      <c r="C78" s="4">
        <v>9822</v>
      </c>
      <c r="D78" s="4" t="s">
        <v>12</v>
      </c>
      <c r="E78" s="5">
        <v>58.3</v>
      </c>
      <c r="F78" s="5">
        <v>98.4</v>
      </c>
      <c r="G78" s="5">
        <f t="shared" si="4"/>
        <v>40.100000000000009</v>
      </c>
      <c r="H78" s="5">
        <f t="shared" si="5"/>
        <v>8.0200000000000014</v>
      </c>
      <c r="I78" s="4" t="s">
        <v>26</v>
      </c>
      <c r="J78" s="4" t="s">
        <v>27</v>
      </c>
      <c r="K78" s="4" t="s">
        <v>23</v>
      </c>
    </row>
    <row r="79" spans="1:11" x14ac:dyDescent="0.25">
      <c r="A79" s="15" t="s">
        <v>56</v>
      </c>
      <c r="B79" s="3">
        <v>1078</v>
      </c>
      <c r="C79" s="4">
        <v>2877</v>
      </c>
      <c r="D79" s="4" t="s">
        <v>16</v>
      </c>
      <c r="E79" s="5">
        <v>11.4</v>
      </c>
      <c r="F79" s="5">
        <v>16.3</v>
      </c>
      <c r="G79" s="5">
        <f t="shared" si="4"/>
        <v>4.9000000000000004</v>
      </c>
      <c r="H79" s="5">
        <f t="shared" si="5"/>
        <v>0.49000000000000005</v>
      </c>
      <c r="I79" s="4" t="s">
        <v>17</v>
      </c>
      <c r="J79" s="4" t="s">
        <v>18</v>
      </c>
      <c r="K79" s="4" t="s">
        <v>33</v>
      </c>
    </row>
    <row r="80" spans="1:11" x14ac:dyDescent="0.25">
      <c r="A80" s="15" t="s">
        <v>56</v>
      </c>
      <c r="B80" s="3">
        <v>1079</v>
      </c>
      <c r="C80" s="4">
        <v>2877</v>
      </c>
      <c r="D80" s="4" t="s">
        <v>16</v>
      </c>
      <c r="E80" s="5">
        <v>11.4</v>
      </c>
      <c r="F80" s="5">
        <v>16.3</v>
      </c>
      <c r="G80" s="5">
        <f t="shared" si="4"/>
        <v>4.9000000000000004</v>
      </c>
      <c r="H80" s="5">
        <f t="shared" si="5"/>
        <v>0.49000000000000005</v>
      </c>
      <c r="I80" s="4" t="s">
        <v>17</v>
      </c>
      <c r="J80" s="4" t="s">
        <v>18</v>
      </c>
      <c r="K80" s="4" t="s">
        <v>15</v>
      </c>
    </row>
    <row r="81" spans="1:16" x14ac:dyDescent="0.25">
      <c r="A81" s="15" t="s">
        <v>56</v>
      </c>
      <c r="B81" s="3">
        <v>1080</v>
      </c>
      <c r="C81" s="4">
        <v>4421</v>
      </c>
      <c r="D81" s="4" t="s">
        <v>29</v>
      </c>
      <c r="E81" s="5">
        <v>45</v>
      </c>
      <c r="F81" s="5">
        <v>87</v>
      </c>
      <c r="G81" s="5">
        <f t="shared" si="4"/>
        <v>42</v>
      </c>
      <c r="H81" s="5">
        <f t="shared" si="5"/>
        <v>8.4</v>
      </c>
      <c r="I81" s="4" t="s">
        <v>21</v>
      </c>
      <c r="J81" s="4" t="s">
        <v>22</v>
      </c>
      <c r="K81" s="4" t="s">
        <v>19</v>
      </c>
      <c r="P81">
        <f>R81</f>
        <v>0</v>
      </c>
    </row>
    <row r="82" spans="1:16" x14ac:dyDescent="0.25">
      <c r="A82" s="15" t="s">
        <v>56</v>
      </c>
      <c r="B82" s="3">
        <v>1081</v>
      </c>
      <c r="C82" s="4">
        <v>6119</v>
      </c>
      <c r="D82" s="4" t="s">
        <v>35</v>
      </c>
      <c r="E82" s="5">
        <v>9</v>
      </c>
      <c r="F82" s="5">
        <v>14</v>
      </c>
      <c r="G82" s="5">
        <f t="shared" si="4"/>
        <v>5</v>
      </c>
      <c r="H82" s="5">
        <f t="shared" si="5"/>
        <v>0.5</v>
      </c>
      <c r="I82" s="4" t="s">
        <v>21</v>
      </c>
      <c r="J82" s="4" t="s">
        <v>22</v>
      </c>
      <c r="K82" s="4" t="s">
        <v>34</v>
      </c>
    </row>
    <row r="83" spans="1:16" x14ac:dyDescent="0.25">
      <c r="A83" s="15" t="s">
        <v>56</v>
      </c>
      <c r="B83" s="3">
        <v>1082</v>
      </c>
      <c r="C83" s="4">
        <v>1109</v>
      </c>
      <c r="D83" s="4" t="s">
        <v>25</v>
      </c>
      <c r="E83" s="5">
        <v>3</v>
      </c>
      <c r="F83" s="5">
        <v>8</v>
      </c>
      <c r="G83" s="5">
        <f t="shared" si="4"/>
        <v>5</v>
      </c>
      <c r="H83" s="5">
        <f t="shared" si="5"/>
        <v>0.5</v>
      </c>
      <c r="I83" s="4" t="s">
        <v>13</v>
      </c>
      <c r="J83" s="4" t="s">
        <v>14</v>
      </c>
      <c r="K83" s="4" t="s">
        <v>19</v>
      </c>
    </row>
    <row r="84" spans="1:16" x14ac:dyDescent="0.25">
      <c r="A84" s="15" t="s">
        <v>56</v>
      </c>
      <c r="B84" s="3">
        <v>1083</v>
      </c>
      <c r="C84" s="4">
        <v>1109</v>
      </c>
      <c r="D84" s="4" t="s">
        <v>25</v>
      </c>
      <c r="E84" s="5">
        <v>3</v>
      </c>
      <c r="F84" s="5">
        <v>8</v>
      </c>
      <c r="G84" s="5">
        <f t="shared" si="4"/>
        <v>5</v>
      </c>
      <c r="H84" s="5">
        <f t="shared" si="5"/>
        <v>0.5</v>
      </c>
      <c r="I84" s="4" t="s">
        <v>13</v>
      </c>
      <c r="J84" s="4" t="s">
        <v>14</v>
      </c>
      <c r="K84" s="4" t="s">
        <v>33</v>
      </c>
    </row>
    <row r="85" spans="1:16" x14ac:dyDescent="0.25">
      <c r="A85" s="15" t="s">
        <v>56</v>
      </c>
      <c r="B85" s="3">
        <v>1084</v>
      </c>
      <c r="C85" s="4">
        <v>6119</v>
      </c>
      <c r="D85" s="4" t="s">
        <v>35</v>
      </c>
      <c r="E85" s="5">
        <v>9</v>
      </c>
      <c r="F85" s="5">
        <v>14</v>
      </c>
      <c r="G85" s="5">
        <f t="shared" si="4"/>
        <v>5</v>
      </c>
      <c r="H85" s="5">
        <f t="shared" si="5"/>
        <v>0.5</v>
      </c>
      <c r="I85" s="4" t="s">
        <v>13</v>
      </c>
      <c r="J85" s="4" t="s">
        <v>14</v>
      </c>
      <c r="K85" s="4" t="s">
        <v>23</v>
      </c>
    </row>
    <row r="86" spans="1:16" x14ac:dyDescent="0.25">
      <c r="A86" s="15" t="s">
        <v>56</v>
      </c>
      <c r="B86" s="3">
        <v>1085</v>
      </c>
      <c r="C86" s="4">
        <v>9822</v>
      </c>
      <c r="D86" s="4" t="s">
        <v>12</v>
      </c>
      <c r="E86" s="5">
        <v>58.3</v>
      </c>
      <c r="F86" s="5">
        <v>98.4</v>
      </c>
      <c r="G86" s="5">
        <f t="shared" si="4"/>
        <v>40.100000000000009</v>
      </c>
      <c r="H86" s="5">
        <f t="shared" si="5"/>
        <v>8.0200000000000014</v>
      </c>
      <c r="I86" s="4" t="s">
        <v>21</v>
      </c>
      <c r="J86" s="4" t="s">
        <v>22</v>
      </c>
      <c r="K86" s="4" t="s">
        <v>33</v>
      </c>
    </row>
    <row r="87" spans="1:16" x14ac:dyDescent="0.25">
      <c r="A87" s="15" t="s">
        <v>56</v>
      </c>
      <c r="B87" s="3">
        <v>1086</v>
      </c>
      <c r="C87" s="4">
        <v>1109</v>
      </c>
      <c r="D87" s="4" t="s">
        <v>25</v>
      </c>
      <c r="E87" s="5">
        <v>3</v>
      </c>
      <c r="F87" s="5">
        <v>8</v>
      </c>
      <c r="G87" s="5">
        <f t="shared" si="4"/>
        <v>5</v>
      </c>
      <c r="H87" s="5">
        <f t="shared" si="5"/>
        <v>0.5</v>
      </c>
      <c r="I87" s="4" t="s">
        <v>26</v>
      </c>
      <c r="J87" s="4" t="s">
        <v>27</v>
      </c>
      <c r="K87" s="4" t="s">
        <v>23</v>
      </c>
    </row>
    <row r="88" spans="1:16" x14ac:dyDescent="0.25">
      <c r="A88" s="15" t="s">
        <v>56</v>
      </c>
      <c r="B88" s="3">
        <v>1087</v>
      </c>
      <c r="C88" s="4">
        <v>2499</v>
      </c>
      <c r="D88" s="4" t="s">
        <v>20</v>
      </c>
      <c r="E88" s="5">
        <v>6.2</v>
      </c>
      <c r="F88" s="5">
        <v>9.1999999999999993</v>
      </c>
      <c r="G88" s="5">
        <f t="shared" si="4"/>
        <v>2.9999999999999991</v>
      </c>
      <c r="H88" s="5">
        <f t="shared" si="5"/>
        <v>0.29999999999999993</v>
      </c>
      <c r="I88" s="4" t="s">
        <v>13</v>
      </c>
      <c r="J88" s="4" t="s">
        <v>14</v>
      </c>
      <c r="K88" s="4" t="s">
        <v>19</v>
      </c>
    </row>
    <row r="89" spans="1:16" x14ac:dyDescent="0.25">
      <c r="A89" s="15" t="s">
        <v>57</v>
      </c>
      <c r="B89" s="3">
        <v>1088</v>
      </c>
      <c r="C89" s="4">
        <v>2499</v>
      </c>
      <c r="D89" s="4" t="s">
        <v>20</v>
      </c>
      <c r="E89" s="5">
        <v>6.2</v>
      </c>
      <c r="F89" s="5">
        <v>9.1999999999999993</v>
      </c>
      <c r="G89" s="5">
        <f t="shared" si="4"/>
        <v>2.9999999999999991</v>
      </c>
      <c r="H89" s="5">
        <f t="shared" si="5"/>
        <v>0.29999999999999993</v>
      </c>
      <c r="I89" s="4" t="s">
        <v>13</v>
      </c>
      <c r="J89" s="4" t="s">
        <v>14</v>
      </c>
      <c r="K89" s="4" t="s">
        <v>15</v>
      </c>
    </row>
    <row r="90" spans="1:16" x14ac:dyDescent="0.25">
      <c r="A90" s="15" t="s">
        <v>57</v>
      </c>
      <c r="B90" s="3">
        <v>1089</v>
      </c>
      <c r="C90" s="4">
        <v>6119</v>
      </c>
      <c r="D90" s="4" t="s">
        <v>35</v>
      </c>
      <c r="E90" s="5">
        <v>9</v>
      </c>
      <c r="F90" s="5">
        <v>14</v>
      </c>
      <c r="G90" s="5">
        <f t="shared" si="4"/>
        <v>5</v>
      </c>
      <c r="H90" s="5">
        <f t="shared" si="5"/>
        <v>0.5</v>
      </c>
      <c r="I90" s="4" t="s">
        <v>21</v>
      </c>
      <c r="J90" s="4" t="s">
        <v>22</v>
      </c>
      <c r="K90" s="4" t="s">
        <v>33</v>
      </c>
    </row>
    <row r="91" spans="1:16" x14ac:dyDescent="0.25">
      <c r="A91" s="15" t="s">
        <v>57</v>
      </c>
      <c r="B91" s="3">
        <v>1090</v>
      </c>
      <c r="C91" s="4">
        <v>2877</v>
      </c>
      <c r="D91" s="4" t="s">
        <v>16</v>
      </c>
      <c r="E91" s="5">
        <v>11.4</v>
      </c>
      <c r="F91" s="5">
        <v>16.3</v>
      </c>
      <c r="G91" s="5">
        <f t="shared" si="4"/>
        <v>4.9000000000000004</v>
      </c>
      <c r="H91" s="5">
        <f t="shared" si="5"/>
        <v>0.49000000000000005</v>
      </c>
      <c r="I91" s="4" t="s">
        <v>13</v>
      </c>
      <c r="J91" s="4" t="s">
        <v>14</v>
      </c>
      <c r="K91" s="4" t="s">
        <v>19</v>
      </c>
    </row>
    <row r="92" spans="1:16" x14ac:dyDescent="0.25">
      <c r="A92" s="15" t="s">
        <v>57</v>
      </c>
      <c r="B92" s="3">
        <v>1091</v>
      </c>
      <c r="C92" s="4">
        <v>2877</v>
      </c>
      <c r="D92" s="4" t="s">
        <v>16</v>
      </c>
      <c r="E92" s="5">
        <v>11.4</v>
      </c>
      <c r="F92" s="5">
        <v>16.3</v>
      </c>
      <c r="G92" s="5">
        <f t="shared" si="4"/>
        <v>4.9000000000000004</v>
      </c>
      <c r="H92" s="5">
        <f t="shared" si="5"/>
        <v>0.49000000000000005</v>
      </c>
      <c r="I92" s="4" t="s">
        <v>26</v>
      </c>
      <c r="J92" s="4" t="s">
        <v>27</v>
      </c>
      <c r="K92" s="4" t="s">
        <v>33</v>
      </c>
    </row>
    <row r="93" spans="1:16" x14ac:dyDescent="0.25">
      <c r="A93" s="15" t="s">
        <v>57</v>
      </c>
      <c r="B93" s="3">
        <v>1092</v>
      </c>
      <c r="C93" s="4">
        <v>2877</v>
      </c>
      <c r="D93" s="4" t="s">
        <v>16</v>
      </c>
      <c r="E93" s="5">
        <v>11.4</v>
      </c>
      <c r="F93" s="5">
        <v>16.3</v>
      </c>
      <c r="G93" s="5">
        <f t="shared" si="4"/>
        <v>4.9000000000000004</v>
      </c>
      <c r="H93" s="5">
        <f t="shared" si="5"/>
        <v>0.49000000000000005</v>
      </c>
      <c r="I93" s="4" t="s">
        <v>21</v>
      </c>
      <c r="J93" s="4" t="s">
        <v>22</v>
      </c>
      <c r="K93" s="4" t="s">
        <v>19</v>
      </c>
    </row>
    <row r="94" spans="1:16" x14ac:dyDescent="0.25">
      <c r="A94" s="15" t="s">
        <v>57</v>
      </c>
      <c r="B94" s="3">
        <v>1093</v>
      </c>
      <c r="C94" s="4">
        <v>6119</v>
      </c>
      <c r="D94" s="4" t="s">
        <v>35</v>
      </c>
      <c r="E94" s="5">
        <v>9</v>
      </c>
      <c r="F94" s="5">
        <v>14</v>
      </c>
      <c r="G94" s="5">
        <f t="shared" si="4"/>
        <v>5</v>
      </c>
      <c r="H94" s="5">
        <f t="shared" si="5"/>
        <v>0.5</v>
      </c>
      <c r="I94" s="4" t="s">
        <v>17</v>
      </c>
      <c r="J94" s="4" t="s">
        <v>18</v>
      </c>
      <c r="K94" s="4" t="s">
        <v>23</v>
      </c>
    </row>
    <row r="95" spans="1:16" x14ac:dyDescent="0.25">
      <c r="A95" s="15" t="s">
        <v>57</v>
      </c>
      <c r="B95" s="3">
        <v>1094</v>
      </c>
      <c r="C95" s="4">
        <v>6119</v>
      </c>
      <c r="D95" s="4" t="s">
        <v>35</v>
      </c>
      <c r="E95" s="5">
        <v>9</v>
      </c>
      <c r="F95" s="5">
        <v>14</v>
      </c>
      <c r="G95" s="5">
        <f t="shared" si="4"/>
        <v>5</v>
      </c>
      <c r="H95" s="5">
        <f t="shared" si="5"/>
        <v>0.5</v>
      </c>
      <c r="I95" s="4" t="s">
        <v>21</v>
      </c>
      <c r="J95" s="4" t="s">
        <v>22</v>
      </c>
      <c r="K95" s="4" t="s">
        <v>19</v>
      </c>
    </row>
    <row r="96" spans="1:16" x14ac:dyDescent="0.25">
      <c r="A96" s="15" t="s">
        <v>57</v>
      </c>
      <c r="B96" s="3">
        <v>1095</v>
      </c>
      <c r="C96" s="4">
        <v>2499</v>
      </c>
      <c r="D96" s="4" t="s">
        <v>20</v>
      </c>
      <c r="E96" s="5">
        <v>6.2</v>
      </c>
      <c r="F96" s="5">
        <v>9.1999999999999993</v>
      </c>
      <c r="G96" s="5">
        <f t="shared" si="4"/>
        <v>2.9999999999999991</v>
      </c>
      <c r="H96" s="5">
        <f t="shared" si="5"/>
        <v>0.29999999999999993</v>
      </c>
      <c r="I96" s="4" t="s">
        <v>26</v>
      </c>
      <c r="J96" s="4" t="s">
        <v>27</v>
      </c>
      <c r="K96" s="4" t="s">
        <v>23</v>
      </c>
    </row>
    <row r="97" spans="1:11" x14ac:dyDescent="0.25">
      <c r="A97" s="15" t="s">
        <v>57</v>
      </c>
      <c r="B97" s="3">
        <v>1096</v>
      </c>
      <c r="C97" s="4">
        <v>6119</v>
      </c>
      <c r="D97" s="4" t="s">
        <v>35</v>
      </c>
      <c r="E97" s="5">
        <v>9</v>
      </c>
      <c r="F97" s="5">
        <v>14</v>
      </c>
      <c r="G97" s="5">
        <f t="shared" si="4"/>
        <v>5</v>
      </c>
      <c r="H97" s="5">
        <f t="shared" si="5"/>
        <v>0.5</v>
      </c>
      <c r="I97" s="4" t="s">
        <v>21</v>
      </c>
      <c r="J97" s="4" t="s">
        <v>22</v>
      </c>
      <c r="K97" s="4" t="s">
        <v>23</v>
      </c>
    </row>
    <row r="98" spans="1:11" x14ac:dyDescent="0.25">
      <c r="A98" s="15" t="s">
        <v>57</v>
      </c>
      <c r="B98" s="3">
        <v>1097</v>
      </c>
      <c r="C98" s="4">
        <v>9212</v>
      </c>
      <c r="D98" s="4" t="s">
        <v>30</v>
      </c>
      <c r="E98" s="5">
        <v>4</v>
      </c>
      <c r="F98" s="5">
        <v>7</v>
      </c>
      <c r="G98" s="5">
        <f t="shared" ref="G98:G129" si="6">F98-E98</f>
        <v>3</v>
      </c>
      <c r="H98" s="5">
        <f t="shared" ref="H98:H129" si="7">IF(F98&gt;50,G98*0.2,G98*0.1)</f>
        <v>0.30000000000000004</v>
      </c>
      <c r="I98" s="4" t="s">
        <v>26</v>
      </c>
      <c r="J98" s="4" t="s">
        <v>27</v>
      </c>
      <c r="K98" s="4" t="s">
        <v>33</v>
      </c>
    </row>
    <row r="99" spans="1:11" x14ac:dyDescent="0.25">
      <c r="A99" s="15" t="s">
        <v>57</v>
      </c>
      <c r="B99" s="3">
        <v>1098</v>
      </c>
      <c r="C99" s="4">
        <v>2877</v>
      </c>
      <c r="D99" s="4" t="s">
        <v>16</v>
      </c>
      <c r="E99" s="5">
        <v>11.4</v>
      </c>
      <c r="F99" s="5">
        <v>16.3</v>
      </c>
      <c r="G99" s="5">
        <f t="shared" si="6"/>
        <v>4.9000000000000004</v>
      </c>
      <c r="H99" s="5">
        <f t="shared" si="7"/>
        <v>0.49000000000000005</v>
      </c>
      <c r="I99" s="4" t="s">
        <v>17</v>
      </c>
      <c r="J99" s="4" t="s">
        <v>18</v>
      </c>
      <c r="K99" s="4" t="s">
        <v>15</v>
      </c>
    </row>
    <row r="100" spans="1:11" x14ac:dyDescent="0.25">
      <c r="A100" s="15" t="s">
        <v>57</v>
      </c>
      <c r="B100" s="3">
        <v>1099</v>
      </c>
      <c r="C100" s="4">
        <v>2877</v>
      </c>
      <c r="D100" s="4" t="s">
        <v>16</v>
      </c>
      <c r="E100" s="5">
        <v>11.4</v>
      </c>
      <c r="F100" s="5">
        <v>16.3</v>
      </c>
      <c r="G100" s="5">
        <f t="shared" si="6"/>
        <v>4.9000000000000004</v>
      </c>
      <c r="H100" s="5">
        <f t="shared" si="7"/>
        <v>0.49000000000000005</v>
      </c>
      <c r="I100" s="4" t="s">
        <v>21</v>
      </c>
      <c r="J100" s="4" t="s">
        <v>22</v>
      </c>
      <c r="K100" s="4" t="s">
        <v>19</v>
      </c>
    </row>
    <row r="101" spans="1:11" x14ac:dyDescent="0.25">
      <c r="A101" s="15" t="s">
        <v>57</v>
      </c>
      <c r="B101" s="3">
        <v>1100</v>
      </c>
      <c r="C101" s="4">
        <v>6119</v>
      </c>
      <c r="D101" s="4" t="s">
        <v>35</v>
      </c>
      <c r="E101" s="5">
        <v>9</v>
      </c>
      <c r="F101" s="5">
        <v>14</v>
      </c>
      <c r="G101" s="5">
        <f t="shared" si="6"/>
        <v>5</v>
      </c>
      <c r="H101" s="5">
        <f t="shared" si="7"/>
        <v>0.5</v>
      </c>
      <c r="I101" s="4" t="s">
        <v>13</v>
      </c>
      <c r="J101" s="4" t="s">
        <v>14</v>
      </c>
      <c r="K101" s="4" t="s">
        <v>34</v>
      </c>
    </row>
    <row r="102" spans="1:11" x14ac:dyDescent="0.25">
      <c r="A102" s="15" t="s">
        <v>57</v>
      </c>
      <c r="B102" s="3">
        <v>1101</v>
      </c>
      <c r="C102" s="4">
        <v>2499</v>
      </c>
      <c r="D102" s="4" t="s">
        <v>20</v>
      </c>
      <c r="E102" s="5">
        <v>6.2</v>
      </c>
      <c r="F102" s="5">
        <v>9.1999999999999993</v>
      </c>
      <c r="G102" s="5">
        <f t="shared" si="6"/>
        <v>2.9999999999999991</v>
      </c>
      <c r="H102" s="5">
        <f t="shared" si="7"/>
        <v>0.29999999999999993</v>
      </c>
      <c r="I102" s="4" t="s">
        <v>21</v>
      </c>
      <c r="J102" s="4" t="s">
        <v>22</v>
      </c>
      <c r="K102" s="4" t="s">
        <v>19</v>
      </c>
    </row>
    <row r="103" spans="1:11" x14ac:dyDescent="0.25">
      <c r="A103" s="15" t="s">
        <v>39</v>
      </c>
      <c r="B103" s="3">
        <v>1102</v>
      </c>
      <c r="C103" s="4">
        <v>2242</v>
      </c>
      <c r="D103" s="4" t="s">
        <v>32</v>
      </c>
      <c r="E103" s="5">
        <v>60</v>
      </c>
      <c r="F103" s="5">
        <v>124</v>
      </c>
      <c r="G103" s="5">
        <f t="shared" si="6"/>
        <v>64</v>
      </c>
      <c r="H103" s="5">
        <f t="shared" si="7"/>
        <v>12.8</v>
      </c>
      <c r="I103" s="4" t="s">
        <v>17</v>
      </c>
      <c r="J103" s="4" t="s">
        <v>18</v>
      </c>
      <c r="K103" s="4" t="s">
        <v>33</v>
      </c>
    </row>
    <row r="104" spans="1:11" x14ac:dyDescent="0.25">
      <c r="A104" s="15" t="s">
        <v>39</v>
      </c>
      <c r="B104" s="3">
        <v>1103</v>
      </c>
      <c r="C104" s="4">
        <v>2877</v>
      </c>
      <c r="D104" s="4" t="s">
        <v>16</v>
      </c>
      <c r="E104" s="5">
        <v>11.4</v>
      </c>
      <c r="F104" s="5">
        <v>16.3</v>
      </c>
      <c r="G104" s="5">
        <f t="shared" si="6"/>
        <v>4.9000000000000004</v>
      </c>
      <c r="H104" s="5">
        <f t="shared" si="7"/>
        <v>0.49000000000000005</v>
      </c>
      <c r="I104" s="4" t="s">
        <v>17</v>
      </c>
      <c r="J104" s="4" t="s">
        <v>18</v>
      </c>
      <c r="K104" s="4" t="s">
        <v>23</v>
      </c>
    </row>
    <row r="105" spans="1:11" x14ac:dyDescent="0.25">
      <c r="A105" s="15" t="s">
        <v>39</v>
      </c>
      <c r="B105" s="3">
        <v>1104</v>
      </c>
      <c r="C105" s="4">
        <v>2877</v>
      </c>
      <c r="D105" s="4" t="s">
        <v>16</v>
      </c>
      <c r="E105" s="5">
        <v>11.4</v>
      </c>
      <c r="F105" s="5">
        <v>16.3</v>
      </c>
      <c r="G105" s="5">
        <f t="shared" si="6"/>
        <v>4.9000000000000004</v>
      </c>
      <c r="H105" s="5">
        <f t="shared" si="7"/>
        <v>0.49000000000000005</v>
      </c>
      <c r="I105" s="4" t="s">
        <v>21</v>
      </c>
      <c r="J105" s="4" t="s">
        <v>22</v>
      </c>
      <c r="K105" s="4" t="s">
        <v>33</v>
      </c>
    </row>
    <row r="106" spans="1:11" x14ac:dyDescent="0.25">
      <c r="A106" s="15" t="s">
        <v>39</v>
      </c>
      <c r="B106" s="3">
        <v>1105</v>
      </c>
      <c r="C106" s="4">
        <v>2499</v>
      </c>
      <c r="D106" s="4" t="s">
        <v>20</v>
      </c>
      <c r="E106" s="5">
        <v>6.2</v>
      </c>
      <c r="F106" s="5">
        <v>9.1999999999999993</v>
      </c>
      <c r="G106" s="5">
        <f t="shared" si="6"/>
        <v>2.9999999999999991</v>
      </c>
      <c r="H106" s="5">
        <f t="shared" si="7"/>
        <v>0.29999999999999993</v>
      </c>
      <c r="I106" s="4" t="s">
        <v>17</v>
      </c>
      <c r="J106" s="4" t="s">
        <v>18</v>
      </c>
      <c r="K106" s="4" t="s">
        <v>23</v>
      </c>
    </row>
    <row r="107" spans="1:11" x14ac:dyDescent="0.25">
      <c r="A107" s="15" t="s">
        <v>39</v>
      </c>
      <c r="B107" s="3">
        <v>1106</v>
      </c>
      <c r="C107" s="4">
        <v>9822</v>
      </c>
      <c r="D107" s="4" t="s">
        <v>12</v>
      </c>
      <c r="E107" s="5">
        <v>58.3</v>
      </c>
      <c r="F107" s="5">
        <v>98.4</v>
      </c>
      <c r="G107" s="5">
        <f t="shared" si="6"/>
        <v>40.100000000000009</v>
      </c>
      <c r="H107" s="5">
        <f t="shared" si="7"/>
        <v>8.0200000000000014</v>
      </c>
      <c r="I107" s="4" t="s">
        <v>17</v>
      </c>
      <c r="J107" s="4" t="s">
        <v>18</v>
      </c>
      <c r="K107" s="4" t="s">
        <v>19</v>
      </c>
    </row>
    <row r="108" spans="1:11" x14ac:dyDescent="0.25">
      <c r="A108" s="15" t="s">
        <v>39</v>
      </c>
      <c r="B108" s="3">
        <v>1107</v>
      </c>
      <c r="C108" s="4">
        <v>1109</v>
      </c>
      <c r="D108" s="4" t="s">
        <v>25</v>
      </c>
      <c r="E108" s="5">
        <v>3</v>
      </c>
      <c r="F108" s="5">
        <v>8</v>
      </c>
      <c r="G108" s="5">
        <f t="shared" si="6"/>
        <v>5</v>
      </c>
      <c r="H108" s="5">
        <f t="shared" si="7"/>
        <v>0.5</v>
      </c>
      <c r="I108" s="4" t="s">
        <v>26</v>
      </c>
      <c r="J108" s="4" t="s">
        <v>27</v>
      </c>
      <c r="K108" s="4" t="s">
        <v>15</v>
      </c>
    </row>
    <row r="109" spans="1:11" x14ac:dyDescent="0.25">
      <c r="A109" s="15" t="s">
        <v>39</v>
      </c>
      <c r="B109" s="3">
        <v>1108</v>
      </c>
      <c r="C109" s="4">
        <v>9822</v>
      </c>
      <c r="D109" s="4" t="s">
        <v>12</v>
      </c>
      <c r="E109" s="5">
        <v>58.3</v>
      </c>
      <c r="F109" s="5">
        <v>98.4</v>
      </c>
      <c r="G109" s="5">
        <f t="shared" si="6"/>
        <v>40.100000000000009</v>
      </c>
      <c r="H109" s="5">
        <f t="shared" si="7"/>
        <v>8.0200000000000014</v>
      </c>
      <c r="I109" s="4" t="s">
        <v>21</v>
      </c>
      <c r="J109" s="4" t="s">
        <v>22</v>
      </c>
      <c r="K109" s="4" t="s">
        <v>33</v>
      </c>
    </row>
    <row r="110" spans="1:11" x14ac:dyDescent="0.25">
      <c r="A110" s="15" t="s">
        <v>39</v>
      </c>
      <c r="B110" s="3">
        <v>1109</v>
      </c>
      <c r="C110" s="4">
        <v>8722</v>
      </c>
      <c r="D110" s="4" t="s">
        <v>24</v>
      </c>
      <c r="E110" s="5">
        <v>344</v>
      </c>
      <c r="F110" s="5">
        <v>502</v>
      </c>
      <c r="G110" s="5">
        <f t="shared" si="6"/>
        <v>158</v>
      </c>
      <c r="H110" s="5">
        <f t="shared" si="7"/>
        <v>31.6</v>
      </c>
      <c r="I110" s="4" t="s">
        <v>17</v>
      </c>
      <c r="J110" s="4" t="s">
        <v>18</v>
      </c>
      <c r="K110" s="4" t="s">
        <v>19</v>
      </c>
    </row>
    <row r="111" spans="1:11" x14ac:dyDescent="0.25">
      <c r="A111" s="15" t="s">
        <v>39</v>
      </c>
      <c r="B111" s="3">
        <v>1110</v>
      </c>
      <c r="C111" s="4">
        <v>8722</v>
      </c>
      <c r="D111" s="4" t="s">
        <v>24</v>
      </c>
      <c r="E111" s="5">
        <v>344</v>
      </c>
      <c r="F111" s="5">
        <v>502</v>
      </c>
      <c r="G111" s="5">
        <f t="shared" si="6"/>
        <v>158</v>
      </c>
      <c r="H111" s="5">
        <f t="shared" si="7"/>
        <v>31.6</v>
      </c>
      <c r="I111" s="4" t="s">
        <v>26</v>
      </c>
      <c r="J111" s="4" t="s">
        <v>27</v>
      </c>
      <c r="K111" s="4" t="s">
        <v>33</v>
      </c>
    </row>
    <row r="112" spans="1:11" x14ac:dyDescent="0.25">
      <c r="A112" s="15" t="s">
        <v>39</v>
      </c>
      <c r="B112" s="3">
        <v>1111</v>
      </c>
      <c r="C112" s="4">
        <v>6622</v>
      </c>
      <c r="D112" s="4" t="s">
        <v>37</v>
      </c>
      <c r="E112" s="5">
        <v>42</v>
      </c>
      <c r="F112" s="5">
        <v>77</v>
      </c>
      <c r="G112" s="5">
        <f t="shared" si="6"/>
        <v>35</v>
      </c>
      <c r="H112" s="5">
        <f t="shared" si="7"/>
        <v>7</v>
      </c>
      <c r="I112" s="4" t="s">
        <v>26</v>
      </c>
      <c r="J112" s="4" t="s">
        <v>27</v>
      </c>
      <c r="K112" s="4" t="s">
        <v>19</v>
      </c>
    </row>
    <row r="113" spans="1:11" x14ac:dyDescent="0.25">
      <c r="A113" s="15" t="s">
        <v>39</v>
      </c>
      <c r="B113" s="3">
        <v>1112</v>
      </c>
      <c r="C113" s="4">
        <v>6622</v>
      </c>
      <c r="D113" s="4" t="s">
        <v>37</v>
      </c>
      <c r="E113" s="5">
        <v>42</v>
      </c>
      <c r="F113" s="5">
        <v>77</v>
      </c>
      <c r="G113" s="5">
        <f t="shared" si="6"/>
        <v>35</v>
      </c>
      <c r="H113" s="5">
        <f t="shared" si="7"/>
        <v>7</v>
      </c>
      <c r="I113" s="4" t="s">
        <v>21</v>
      </c>
      <c r="J113" s="4" t="s">
        <v>22</v>
      </c>
      <c r="K113" s="4" t="s">
        <v>23</v>
      </c>
    </row>
    <row r="114" spans="1:11" x14ac:dyDescent="0.25">
      <c r="A114" s="15" t="s">
        <v>39</v>
      </c>
      <c r="B114" s="3">
        <v>1113</v>
      </c>
      <c r="C114" s="4">
        <v>9822</v>
      </c>
      <c r="D114" s="4" t="s">
        <v>12</v>
      </c>
      <c r="E114" s="5">
        <v>58.3</v>
      </c>
      <c r="F114" s="5">
        <v>98.4</v>
      </c>
      <c r="G114" s="5">
        <f t="shared" si="6"/>
        <v>40.100000000000009</v>
      </c>
      <c r="H114" s="5">
        <f t="shared" si="7"/>
        <v>8.0200000000000014</v>
      </c>
      <c r="I114" s="4" t="s">
        <v>13</v>
      </c>
      <c r="J114" s="4" t="s">
        <v>14</v>
      </c>
      <c r="K114" s="4" t="s">
        <v>19</v>
      </c>
    </row>
    <row r="115" spans="1:11" x14ac:dyDescent="0.25">
      <c r="A115" s="15" t="s">
        <v>39</v>
      </c>
      <c r="B115" s="3">
        <v>1114</v>
      </c>
      <c r="C115" s="4">
        <v>2242</v>
      </c>
      <c r="D115" s="4" t="s">
        <v>32</v>
      </c>
      <c r="E115" s="5">
        <v>60</v>
      </c>
      <c r="F115" s="5">
        <v>124</v>
      </c>
      <c r="G115" s="5">
        <f t="shared" si="6"/>
        <v>64</v>
      </c>
      <c r="H115" s="5">
        <f t="shared" si="7"/>
        <v>12.8</v>
      </c>
      <c r="I115" s="4" t="s">
        <v>17</v>
      </c>
      <c r="J115" s="4" t="s">
        <v>18</v>
      </c>
      <c r="K115" s="4" t="s">
        <v>23</v>
      </c>
    </row>
    <row r="116" spans="1:11" x14ac:dyDescent="0.25">
      <c r="A116" s="15" t="s">
        <v>39</v>
      </c>
      <c r="B116" s="3">
        <v>1115</v>
      </c>
      <c r="C116" s="4">
        <v>8722</v>
      </c>
      <c r="D116" s="4" t="s">
        <v>24</v>
      </c>
      <c r="E116" s="5">
        <v>344</v>
      </c>
      <c r="F116" s="5">
        <v>502</v>
      </c>
      <c r="G116" s="5">
        <f t="shared" si="6"/>
        <v>158</v>
      </c>
      <c r="H116" s="5">
        <f t="shared" si="7"/>
        <v>31.6</v>
      </c>
      <c r="I116" s="4" t="s">
        <v>13</v>
      </c>
      <c r="J116" s="4" t="s">
        <v>14</v>
      </c>
      <c r="K116" s="4" t="s">
        <v>23</v>
      </c>
    </row>
    <row r="117" spans="1:11" x14ac:dyDescent="0.25">
      <c r="A117" s="15" t="s">
        <v>58</v>
      </c>
      <c r="B117" s="3">
        <v>1116</v>
      </c>
      <c r="C117" s="4">
        <v>6622</v>
      </c>
      <c r="D117" s="4" t="s">
        <v>37</v>
      </c>
      <c r="E117" s="5">
        <v>42</v>
      </c>
      <c r="F117" s="5">
        <v>77</v>
      </c>
      <c r="G117" s="5">
        <f t="shared" si="6"/>
        <v>35</v>
      </c>
      <c r="H117" s="5">
        <f t="shared" si="7"/>
        <v>7</v>
      </c>
      <c r="I117" s="4" t="s">
        <v>21</v>
      </c>
      <c r="J117" s="4" t="s">
        <v>22</v>
      </c>
      <c r="K117" s="4" t="s">
        <v>33</v>
      </c>
    </row>
    <row r="118" spans="1:11" x14ac:dyDescent="0.25">
      <c r="A118" s="15" t="s">
        <v>58</v>
      </c>
      <c r="B118" s="3">
        <v>1117</v>
      </c>
      <c r="C118" s="4">
        <v>8722</v>
      </c>
      <c r="D118" s="4" t="s">
        <v>24</v>
      </c>
      <c r="E118" s="5">
        <v>344</v>
      </c>
      <c r="F118" s="5">
        <v>502</v>
      </c>
      <c r="G118" s="5">
        <f t="shared" si="6"/>
        <v>158</v>
      </c>
      <c r="H118" s="5">
        <f t="shared" si="7"/>
        <v>31.6</v>
      </c>
      <c r="I118" s="4" t="s">
        <v>26</v>
      </c>
      <c r="J118" s="4" t="s">
        <v>27</v>
      </c>
      <c r="K118" s="4" t="s">
        <v>15</v>
      </c>
    </row>
    <row r="119" spans="1:11" x14ac:dyDescent="0.25">
      <c r="A119" s="15" t="s">
        <v>58</v>
      </c>
      <c r="B119" s="3">
        <v>1118</v>
      </c>
      <c r="C119" s="4">
        <v>9822</v>
      </c>
      <c r="D119" s="4" t="s">
        <v>12</v>
      </c>
      <c r="E119" s="5">
        <v>58.3</v>
      </c>
      <c r="F119" s="5">
        <v>98.4</v>
      </c>
      <c r="G119" s="5">
        <f t="shared" si="6"/>
        <v>40.100000000000009</v>
      </c>
      <c r="H119" s="5">
        <f t="shared" si="7"/>
        <v>8.0200000000000014</v>
      </c>
      <c r="I119" s="4" t="s">
        <v>17</v>
      </c>
      <c r="J119" s="4" t="s">
        <v>18</v>
      </c>
      <c r="K119" s="4" t="s">
        <v>19</v>
      </c>
    </row>
    <row r="120" spans="1:11" x14ac:dyDescent="0.25">
      <c r="A120" s="15" t="s">
        <v>58</v>
      </c>
      <c r="B120" s="3">
        <v>1119</v>
      </c>
      <c r="C120" s="4">
        <v>2242</v>
      </c>
      <c r="D120" s="4" t="s">
        <v>32</v>
      </c>
      <c r="E120" s="5">
        <v>60</v>
      </c>
      <c r="F120" s="5">
        <v>124</v>
      </c>
      <c r="G120" s="5">
        <f t="shared" si="6"/>
        <v>64</v>
      </c>
      <c r="H120" s="5">
        <f t="shared" si="7"/>
        <v>12.8</v>
      </c>
      <c r="I120" s="4" t="s">
        <v>13</v>
      </c>
      <c r="J120" s="4" t="s">
        <v>14</v>
      </c>
      <c r="K120" s="4" t="s">
        <v>34</v>
      </c>
    </row>
    <row r="121" spans="1:11" x14ac:dyDescent="0.25">
      <c r="A121" s="15" t="s">
        <v>58</v>
      </c>
      <c r="B121" s="3">
        <v>1120</v>
      </c>
      <c r="C121" s="4">
        <v>2242</v>
      </c>
      <c r="D121" s="4" t="s">
        <v>32</v>
      </c>
      <c r="E121" s="5">
        <v>60</v>
      </c>
      <c r="F121" s="5">
        <v>124</v>
      </c>
      <c r="G121" s="5">
        <f t="shared" si="6"/>
        <v>64</v>
      </c>
      <c r="H121" s="5">
        <f t="shared" si="7"/>
        <v>12.8</v>
      </c>
      <c r="I121" s="4" t="s">
        <v>21</v>
      </c>
      <c r="J121" s="4" t="s">
        <v>22</v>
      </c>
      <c r="K121" s="4" t="s">
        <v>19</v>
      </c>
    </row>
    <row r="122" spans="1:11" x14ac:dyDescent="0.25">
      <c r="A122" s="15" t="s">
        <v>58</v>
      </c>
      <c r="B122" s="3">
        <v>1121</v>
      </c>
      <c r="C122" s="4">
        <v>4421</v>
      </c>
      <c r="D122" s="4" t="s">
        <v>29</v>
      </c>
      <c r="E122" s="5">
        <v>45</v>
      </c>
      <c r="F122" s="5">
        <v>87</v>
      </c>
      <c r="G122" s="5">
        <f t="shared" si="6"/>
        <v>42</v>
      </c>
      <c r="H122" s="5">
        <f t="shared" si="7"/>
        <v>8.4</v>
      </c>
      <c r="I122" s="4" t="s">
        <v>21</v>
      </c>
      <c r="J122" s="4" t="s">
        <v>22</v>
      </c>
      <c r="K122" s="4" t="s">
        <v>33</v>
      </c>
    </row>
    <row r="123" spans="1:11" x14ac:dyDescent="0.25">
      <c r="A123" s="15" t="s">
        <v>58</v>
      </c>
      <c r="B123" s="3">
        <v>1122</v>
      </c>
      <c r="C123" s="4">
        <v>8722</v>
      </c>
      <c r="D123" s="4" t="s">
        <v>24</v>
      </c>
      <c r="E123" s="5">
        <v>344</v>
      </c>
      <c r="F123" s="5">
        <v>502</v>
      </c>
      <c r="G123" s="5">
        <f t="shared" si="6"/>
        <v>158</v>
      </c>
      <c r="H123" s="5">
        <f t="shared" si="7"/>
        <v>31.6</v>
      </c>
      <c r="I123" s="4" t="s">
        <v>21</v>
      </c>
      <c r="J123" s="4" t="s">
        <v>22</v>
      </c>
      <c r="K123" s="4" t="s">
        <v>23</v>
      </c>
    </row>
    <row r="124" spans="1:11" x14ac:dyDescent="0.25">
      <c r="A124" s="15" t="s">
        <v>58</v>
      </c>
      <c r="B124" s="3">
        <v>1123</v>
      </c>
      <c r="C124" s="4">
        <v>9822</v>
      </c>
      <c r="D124" s="4" t="s">
        <v>12</v>
      </c>
      <c r="E124" s="5">
        <v>58.3</v>
      </c>
      <c r="F124" s="5">
        <v>98.4</v>
      </c>
      <c r="G124" s="5">
        <f t="shared" si="6"/>
        <v>40.100000000000009</v>
      </c>
      <c r="H124" s="5">
        <f t="shared" si="7"/>
        <v>8.0200000000000014</v>
      </c>
      <c r="I124" s="4" t="s">
        <v>21</v>
      </c>
      <c r="J124" s="4" t="s">
        <v>22</v>
      </c>
      <c r="K124" s="4" t="s">
        <v>33</v>
      </c>
    </row>
    <row r="125" spans="1:11" x14ac:dyDescent="0.25">
      <c r="A125" s="15" t="s">
        <v>58</v>
      </c>
      <c r="B125" s="3">
        <v>1124</v>
      </c>
      <c r="C125" s="4">
        <v>4421</v>
      </c>
      <c r="D125" s="4" t="s">
        <v>29</v>
      </c>
      <c r="E125" s="5">
        <v>45</v>
      </c>
      <c r="F125" s="5">
        <v>87</v>
      </c>
      <c r="G125" s="5">
        <f t="shared" si="6"/>
        <v>42</v>
      </c>
      <c r="H125" s="5">
        <f t="shared" si="7"/>
        <v>8.4</v>
      </c>
      <c r="I125" s="4" t="s">
        <v>21</v>
      </c>
      <c r="J125" s="4" t="s">
        <v>22</v>
      </c>
      <c r="K125" s="4" t="s">
        <v>23</v>
      </c>
    </row>
    <row r="126" spans="1:11" x14ac:dyDescent="0.25">
      <c r="A126" s="15" t="s">
        <v>58</v>
      </c>
      <c r="B126" s="3">
        <v>1125</v>
      </c>
      <c r="C126" s="4">
        <v>2242</v>
      </c>
      <c r="D126" s="4" t="s">
        <v>32</v>
      </c>
      <c r="E126" s="5">
        <v>60</v>
      </c>
      <c r="F126" s="5">
        <v>124</v>
      </c>
      <c r="G126" s="5">
        <f t="shared" si="6"/>
        <v>64</v>
      </c>
      <c r="H126" s="5">
        <f t="shared" si="7"/>
        <v>12.8</v>
      </c>
      <c r="I126" s="4" t="s">
        <v>21</v>
      </c>
      <c r="J126" s="4" t="s">
        <v>22</v>
      </c>
      <c r="K126" s="4" t="s">
        <v>19</v>
      </c>
    </row>
    <row r="127" spans="1:11" x14ac:dyDescent="0.25">
      <c r="A127" s="15" t="s">
        <v>58</v>
      </c>
      <c r="B127" s="3">
        <v>1126</v>
      </c>
      <c r="C127" s="4">
        <v>9212</v>
      </c>
      <c r="D127" s="4" t="s">
        <v>30</v>
      </c>
      <c r="E127" s="5">
        <v>4</v>
      </c>
      <c r="F127" s="5">
        <v>7</v>
      </c>
      <c r="G127" s="5">
        <f t="shared" si="6"/>
        <v>3</v>
      </c>
      <c r="H127" s="5">
        <f t="shared" si="7"/>
        <v>0.30000000000000004</v>
      </c>
      <c r="I127" s="4" t="s">
        <v>21</v>
      </c>
      <c r="J127" s="4" t="s">
        <v>22</v>
      </c>
      <c r="K127" s="4" t="s">
        <v>15</v>
      </c>
    </row>
    <row r="128" spans="1:11" x14ac:dyDescent="0.25">
      <c r="A128" s="15" t="s">
        <v>58</v>
      </c>
      <c r="B128" s="3">
        <v>1127</v>
      </c>
      <c r="C128" s="4">
        <v>8722</v>
      </c>
      <c r="D128" s="4" t="s">
        <v>24</v>
      </c>
      <c r="E128" s="5">
        <v>344</v>
      </c>
      <c r="F128" s="5">
        <v>502</v>
      </c>
      <c r="G128" s="5">
        <f t="shared" si="6"/>
        <v>158</v>
      </c>
      <c r="H128" s="5">
        <f t="shared" si="7"/>
        <v>31.6</v>
      </c>
      <c r="I128" s="4" t="s">
        <v>13</v>
      </c>
      <c r="J128" s="4" t="s">
        <v>14</v>
      </c>
      <c r="K128" s="4" t="s">
        <v>33</v>
      </c>
    </row>
    <row r="129" spans="1:11" x14ac:dyDescent="0.25">
      <c r="A129" s="15" t="s">
        <v>58</v>
      </c>
      <c r="B129" s="3">
        <v>1128</v>
      </c>
      <c r="C129" s="4">
        <v>6622</v>
      </c>
      <c r="D129" s="4" t="s">
        <v>37</v>
      </c>
      <c r="E129" s="5">
        <v>42</v>
      </c>
      <c r="F129" s="5">
        <v>77</v>
      </c>
      <c r="G129" s="5">
        <f t="shared" si="6"/>
        <v>35</v>
      </c>
      <c r="H129" s="5">
        <f t="shared" si="7"/>
        <v>7</v>
      </c>
      <c r="I129" s="4" t="s">
        <v>17</v>
      </c>
      <c r="J129" s="4" t="s">
        <v>18</v>
      </c>
      <c r="K129" s="4" t="s">
        <v>19</v>
      </c>
    </row>
    <row r="130" spans="1:11" x14ac:dyDescent="0.25">
      <c r="A130" s="15" t="s">
        <v>58</v>
      </c>
      <c r="B130" s="3">
        <v>1129</v>
      </c>
      <c r="C130" s="4">
        <v>9822</v>
      </c>
      <c r="D130" s="4" t="s">
        <v>12</v>
      </c>
      <c r="E130" s="5">
        <v>58.3</v>
      </c>
      <c r="F130" s="5">
        <v>98.4</v>
      </c>
      <c r="G130" s="5">
        <f t="shared" ref="G130:G161" si="8">F130-E130</f>
        <v>40.100000000000009</v>
      </c>
      <c r="H130" s="5">
        <f t="shared" ref="H130:H161" si="9">IF(F130&gt;50,G130*0.2,G130*0.1)</f>
        <v>8.0200000000000014</v>
      </c>
      <c r="I130" s="4" t="s">
        <v>26</v>
      </c>
      <c r="J130" s="4" t="s">
        <v>27</v>
      </c>
      <c r="K130" s="4" t="s">
        <v>33</v>
      </c>
    </row>
    <row r="131" spans="1:11" x14ac:dyDescent="0.25">
      <c r="A131" s="15" t="s">
        <v>40</v>
      </c>
      <c r="B131" s="3">
        <v>1130</v>
      </c>
      <c r="C131" s="4">
        <v>4421</v>
      </c>
      <c r="D131" s="4" t="s">
        <v>29</v>
      </c>
      <c r="E131" s="5">
        <v>45</v>
      </c>
      <c r="F131" s="5">
        <v>87</v>
      </c>
      <c r="G131" s="5">
        <f t="shared" si="8"/>
        <v>42</v>
      </c>
      <c r="H131" s="5">
        <f t="shared" si="9"/>
        <v>8.4</v>
      </c>
      <c r="I131" s="4" t="s">
        <v>26</v>
      </c>
      <c r="J131" s="4" t="s">
        <v>27</v>
      </c>
      <c r="K131" s="4" t="s">
        <v>19</v>
      </c>
    </row>
    <row r="132" spans="1:11" x14ac:dyDescent="0.25">
      <c r="A132" s="15" t="s">
        <v>40</v>
      </c>
      <c r="B132" s="3">
        <v>1131</v>
      </c>
      <c r="C132" s="4">
        <v>9212</v>
      </c>
      <c r="D132" s="4" t="s">
        <v>30</v>
      </c>
      <c r="E132" s="5">
        <v>4</v>
      </c>
      <c r="F132" s="5">
        <v>7</v>
      </c>
      <c r="G132" s="5">
        <f t="shared" si="8"/>
        <v>3</v>
      </c>
      <c r="H132" s="5">
        <f t="shared" si="9"/>
        <v>0.30000000000000004</v>
      </c>
      <c r="I132" s="4" t="s">
        <v>26</v>
      </c>
      <c r="J132" s="4" t="s">
        <v>27</v>
      </c>
      <c r="K132" s="4" t="s">
        <v>23</v>
      </c>
    </row>
    <row r="133" spans="1:11" x14ac:dyDescent="0.25">
      <c r="A133" s="15" t="s">
        <v>40</v>
      </c>
      <c r="B133" s="3">
        <v>1132</v>
      </c>
      <c r="C133" s="4">
        <v>9212</v>
      </c>
      <c r="D133" s="4" t="s">
        <v>30</v>
      </c>
      <c r="E133" s="5">
        <v>4</v>
      </c>
      <c r="F133" s="5">
        <v>7</v>
      </c>
      <c r="G133" s="5">
        <f t="shared" si="8"/>
        <v>3</v>
      </c>
      <c r="H133" s="5">
        <f t="shared" si="9"/>
        <v>0.30000000000000004</v>
      </c>
      <c r="I133" s="4" t="s">
        <v>26</v>
      </c>
      <c r="J133" s="4" t="s">
        <v>27</v>
      </c>
      <c r="K133" s="4" t="s">
        <v>19</v>
      </c>
    </row>
    <row r="134" spans="1:11" x14ac:dyDescent="0.25">
      <c r="A134" s="15" t="s">
        <v>40</v>
      </c>
      <c r="B134" s="3">
        <v>1133</v>
      </c>
      <c r="C134" s="4">
        <v>9822</v>
      </c>
      <c r="D134" s="4" t="s">
        <v>12</v>
      </c>
      <c r="E134" s="5">
        <v>58.3</v>
      </c>
      <c r="F134" s="5">
        <v>98.4</v>
      </c>
      <c r="G134" s="5">
        <f t="shared" si="8"/>
        <v>40.100000000000009</v>
      </c>
      <c r="H134" s="5">
        <f t="shared" si="9"/>
        <v>8.0200000000000014</v>
      </c>
      <c r="I134" s="4" t="s">
        <v>13</v>
      </c>
      <c r="J134" s="4" t="s">
        <v>14</v>
      </c>
      <c r="K134" s="4" t="s">
        <v>23</v>
      </c>
    </row>
    <row r="135" spans="1:11" x14ac:dyDescent="0.25">
      <c r="A135" s="15" t="s">
        <v>40</v>
      </c>
      <c r="B135" s="3">
        <v>1134</v>
      </c>
      <c r="C135" s="4">
        <v>9822</v>
      </c>
      <c r="D135" s="4" t="s">
        <v>12</v>
      </c>
      <c r="E135" s="5">
        <v>58.3</v>
      </c>
      <c r="F135" s="5">
        <v>98.4</v>
      </c>
      <c r="G135" s="5">
        <f t="shared" si="8"/>
        <v>40.100000000000009</v>
      </c>
      <c r="H135" s="5">
        <f t="shared" si="9"/>
        <v>8.0200000000000014</v>
      </c>
      <c r="I135" s="4" t="s">
        <v>21</v>
      </c>
      <c r="J135" s="4" t="s">
        <v>22</v>
      </c>
      <c r="K135" s="4" t="s">
        <v>23</v>
      </c>
    </row>
    <row r="136" spans="1:11" x14ac:dyDescent="0.25">
      <c r="A136" s="15" t="s">
        <v>40</v>
      </c>
      <c r="B136" s="3">
        <v>1135</v>
      </c>
      <c r="C136" s="4">
        <v>8722</v>
      </c>
      <c r="D136" s="4" t="s">
        <v>24</v>
      </c>
      <c r="E136" s="5">
        <v>344</v>
      </c>
      <c r="F136" s="5">
        <v>502</v>
      </c>
      <c r="G136" s="5">
        <f t="shared" si="8"/>
        <v>158</v>
      </c>
      <c r="H136" s="5">
        <f t="shared" si="9"/>
        <v>31.6</v>
      </c>
      <c r="I136" s="4" t="s">
        <v>13</v>
      </c>
      <c r="J136" s="4" t="s">
        <v>14</v>
      </c>
      <c r="K136" s="4" t="s">
        <v>33</v>
      </c>
    </row>
    <row r="137" spans="1:11" x14ac:dyDescent="0.25">
      <c r="A137" s="15" t="s">
        <v>40</v>
      </c>
      <c r="B137" s="3">
        <v>1136</v>
      </c>
      <c r="C137" s="4">
        <v>2242</v>
      </c>
      <c r="D137" s="4" t="s">
        <v>32</v>
      </c>
      <c r="E137" s="5">
        <v>60</v>
      </c>
      <c r="F137" s="5">
        <v>124</v>
      </c>
      <c r="G137" s="5">
        <f t="shared" si="8"/>
        <v>64</v>
      </c>
      <c r="H137" s="5">
        <f t="shared" si="9"/>
        <v>12.8</v>
      </c>
      <c r="I137" s="4" t="s">
        <v>21</v>
      </c>
      <c r="J137" s="4" t="s">
        <v>22</v>
      </c>
      <c r="K137" s="4" t="s">
        <v>15</v>
      </c>
    </row>
    <row r="138" spans="1:11" x14ac:dyDescent="0.25">
      <c r="A138" s="15" t="s">
        <v>40</v>
      </c>
      <c r="B138" s="3">
        <v>1137</v>
      </c>
      <c r="C138" s="4">
        <v>9822</v>
      </c>
      <c r="D138" s="4" t="s">
        <v>12</v>
      </c>
      <c r="E138" s="5">
        <v>58.3</v>
      </c>
      <c r="F138" s="5">
        <v>98.4</v>
      </c>
      <c r="G138" s="5">
        <f t="shared" si="8"/>
        <v>40.100000000000009</v>
      </c>
      <c r="H138" s="5">
        <f t="shared" si="9"/>
        <v>8.0200000000000014</v>
      </c>
      <c r="I138" s="4" t="s">
        <v>17</v>
      </c>
      <c r="J138" s="4" t="s">
        <v>18</v>
      </c>
      <c r="K138" s="4" t="s">
        <v>19</v>
      </c>
    </row>
    <row r="139" spans="1:11" x14ac:dyDescent="0.25">
      <c r="A139" s="15" t="s">
        <v>40</v>
      </c>
      <c r="B139" s="3">
        <v>1138</v>
      </c>
      <c r="C139" s="4">
        <v>8722</v>
      </c>
      <c r="D139" s="4" t="s">
        <v>24</v>
      </c>
      <c r="E139" s="5">
        <v>344</v>
      </c>
      <c r="F139" s="5">
        <v>502</v>
      </c>
      <c r="G139" s="5">
        <f t="shared" si="8"/>
        <v>158</v>
      </c>
      <c r="H139" s="5">
        <f t="shared" si="9"/>
        <v>31.6</v>
      </c>
      <c r="I139" s="4" t="s">
        <v>13</v>
      </c>
      <c r="J139" s="4" t="s">
        <v>14</v>
      </c>
      <c r="K139" s="4" t="s">
        <v>34</v>
      </c>
    </row>
    <row r="140" spans="1:11" x14ac:dyDescent="0.25">
      <c r="A140" s="15" t="s">
        <v>40</v>
      </c>
      <c r="B140" s="3">
        <v>1139</v>
      </c>
      <c r="C140" s="4">
        <v>4421</v>
      </c>
      <c r="D140" s="4" t="s">
        <v>29</v>
      </c>
      <c r="E140" s="5">
        <v>45</v>
      </c>
      <c r="F140" s="5">
        <v>87</v>
      </c>
      <c r="G140" s="5">
        <f t="shared" si="8"/>
        <v>42</v>
      </c>
      <c r="H140" s="5">
        <f t="shared" si="9"/>
        <v>8.4</v>
      </c>
      <c r="I140" s="4" t="s">
        <v>21</v>
      </c>
      <c r="J140" s="4" t="s">
        <v>22</v>
      </c>
      <c r="K140" s="4" t="s">
        <v>19</v>
      </c>
    </row>
    <row r="141" spans="1:11" x14ac:dyDescent="0.25">
      <c r="A141" s="15" t="s">
        <v>40</v>
      </c>
      <c r="B141" s="3">
        <v>1140</v>
      </c>
      <c r="C141" s="4">
        <v>4421</v>
      </c>
      <c r="D141" s="4" t="s">
        <v>29</v>
      </c>
      <c r="E141" s="5">
        <v>45</v>
      </c>
      <c r="F141" s="5">
        <v>87</v>
      </c>
      <c r="G141" s="5">
        <f t="shared" si="8"/>
        <v>42</v>
      </c>
      <c r="H141" s="5">
        <f t="shared" si="9"/>
        <v>8.4</v>
      </c>
      <c r="I141" s="4" t="s">
        <v>17</v>
      </c>
      <c r="J141" s="4" t="s">
        <v>18</v>
      </c>
      <c r="K141" s="4" t="s">
        <v>33</v>
      </c>
    </row>
    <row r="142" spans="1:11" x14ac:dyDescent="0.25">
      <c r="A142" s="15" t="s">
        <v>40</v>
      </c>
      <c r="B142" s="3">
        <v>1141</v>
      </c>
      <c r="C142" s="4">
        <v>9212</v>
      </c>
      <c r="D142" s="4" t="s">
        <v>30</v>
      </c>
      <c r="E142" s="5">
        <v>4</v>
      </c>
      <c r="F142" s="5">
        <v>7</v>
      </c>
      <c r="G142" s="5">
        <f t="shared" si="8"/>
        <v>3</v>
      </c>
      <c r="H142" s="5">
        <f t="shared" si="9"/>
        <v>0.30000000000000004</v>
      </c>
      <c r="I142" s="4" t="s">
        <v>17</v>
      </c>
      <c r="J142" s="4" t="s">
        <v>18</v>
      </c>
      <c r="K142" s="4" t="s">
        <v>23</v>
      </c>
    </row>
    <row r="143" spans="1:11" x14ac:dyDescent="0.25">
      <c r="A143" s="15" t="s">
        <v>40</v>
      </c>
      <c r="B143" s="3">
        <v>1142</v>
      </c>
      <c r="C143" s="4">
        <v>2242</v>
      </c>
      <c r="D143" s="4" t="s">
        <v>32</v>
      </c>
      <c r="E143" s="5">
        <v>60</v>
      </c>
      <c r="F143" s="5">
        <v>124</v>
      </c>
      <c r="G143" s="5">
        <f t="shared" si="8"/>
        <v>64</v>
      </c>
      <c r="H143" s="5">
        <f t="shared" si="9"/>
        <v>12.8</v>
      </c>
      <c r="I143" s="4" t="s">
        <v>17</v>
      </c>
      <c r="J143" s="4" t="s">
        <v>18</v>
      </c>
      <c r="K143" s="4" t="s">
        <v>33</v>
      </c>
    </row>
    <row r="144" spans="1:11" x14ac:dyDescent="0.25">
      <c r="A144" s="15" t="s">
        <v>40</v>
      </c>
      <c r="B144" s="3">
        <v>1143</v>
      </c>
      <c r="C144" s="4">
        <v>9822</v>
      </c>
      <c r="D144" s="4" t="s">
        <v>12</v>
      </c>
      <c r="E144" s="5">
        <v>58.3</v>
      </c>
      <c r="F144" s="5">
        <v>98.4</v>
      </c>
      <c r="G144" s="5">
        <f t="shared" si="8"/>
        <v>40.100000000000009</v>
      </c>
      <c r="H144" s="5">
        <f t="shared" si="9"/>
        <v>8.0200000000000014</v>
      </c>
      <c r="I144" s="4" t="s">
        <v>26</v>
      </c>
      <c r="J144" s="4" t="s">
        <v>27</v>
      </c>
      <c r="K144" s="4" t="s">
        <v>23</v>
      </c>
    </row>
    <row r="145" spans="1:11" x14ac:dyDescent="0.25">
      <c r="A145" s="15" t="s">
        <v>41</v>
      </c>
      <c r="B145" s="3">
        <v>1144</v>
      </c>
      <c r="C145" s="4">
        <v>2242</v>
      </c>
      <c r="D145" s="4" t="s">
        <v>32</v>
      </c>
      <c r="E145" s="5">
        <v>60</v>
      </c>
      <c r="F145" s="5">
        <v>124</v>
      </c>
      <c r="G145" s="5">
        <f t="shared" si="8"/>
        <v>64</v>
      </c>
      <c r="H145" s="5">
        <f t="shared" si="9"/>
        <v>12.8</v>
      </c>
      <c r="I145" s="4" t="s">
        <v>26</v>
      </c>
      <c r="J145" s="4" t="s">
        <v>27</v>
      </c>
      <c r="K145" s="4" t="s">
        <v>19</v>
      </c>
    </row>
    <row r="146" spans="1:11" x14ac:dyDescent="0.25">
      <c r="A146" s="15" t="s">
        <v>41</v>
      </c>
      <c r="B146" s="3">
        <v>1145</v>
      </c>
      <c r="C146" s="4">
        <v>4421</v>
      </c>
      <c r="D146" s="4" t="s">
        <v>29</v>
      </c>
      <c r="E146" s="5">
        <v>45</v>
      </c>
      <c r="F146" s="5">
        <v>87</v>
      </c>
      <c r="G146" s="5">
        <f t="shared" si="8"/>
        <v>42</v>
      </c>
      <c r="H146" s="5">
        <f t="shared" si="9"/>
        <v>8.4</v>
      </c>
      <c r="I146" s="4" t="s">
        <v>26</v>
      </c>
      <c r="J146" s="4" t="s">
        <v>27</v>
      </c>
      <c r="K146" s="4" t="s">
        <v>15</v>
      </c>
    </row>
    <row r="147" spans="1:11" x14ac:dyDescent="0.25">
      <c r="A147" s="15" t="s">
        <v>41</v>
      </c>
      <c r="B147" s="3">
        <v>1146</v>
      </c>
      <c r="C147" s="4">
        <v>8722</v>
      </c>
      <c r="D147" s="4" t="s">
        <v>24</v>
      </c>
      <c r="E147" s="5">
        <v>344</v>
      </c>
      <c r="F147" s="5">
        <v>502</v>
      </c>
      <c r="G147" s="5">
        <f t="shared" si="8"/>
        <v>158</v>
      </c>
      <c r="H147" s="5">
        <f t="shared" si="9"/>
        <v>31.6</v>
      </c>
      <c r="I147" s="4" t="s">
        <v>26</v>
      </c>
      <c r="J147" s="4" t="s">
        <v>27</v>
      </c>
      <c r="K147" s="4" t="s">
        <v>33</v>
      </c>
    </row>
    <row r="148" spans="1:11" x14ac:dyDescent="0.25">
      <c r="A148" s="15" t="s">
        <v>41</v>
      </c>
      <c r="B148" s="3">
        <v>1147</v>
      </c>
      <c r="C148" s="4">
        <v>9822</v>
      </c>
      <c r="D148" s="4" t="s">
        <v>12</v>
      </c>
      <c r="E148" s="5">
        <v>58.3</v>
      </c>
      <c r="F148" s="5">
        <v>98.4</v>
      </c>
      <c r="G148" s="5">
        <f t="shared" si="8"/>
        <v>40.100000000000009</v>
      </c>
      <c r="H148" s="5">
        <f t="shared" si="9"/>
        <v>8.0200000000000014</v>
      </c>
      <c r="I148" s="4" t="s">
        <v>13</v>
      </c>
      <c r="J148" s="4" t="s">
        <v>14</v>
      </c>
      <c r="K148" s="4" t="s">
        <v>19</v>
      </c>
    </row>
    <row r="149" spans="1:11" x14ac:dyDescent="0.25">
      <c r="A149" s="15" t="s">
        <v>41</v>
      </c>
      <c r="B149" s="3">
        <v>1148</v>
      </c>
      <c r="C149" s="4">
        <v>9212</v>
      </c>
      <c r="D149" s="4" t="s">
        <v>30</v>
      </c>
      <c r="E149" s="5">
        <v>4</v>
      </c>
      <c r="F149" s="5">
        <v>7</v>
      </c>
      <c r="G149" s="5">
        <f t="shared" si="8"/>
        <v>3</v>
      </c>
      <c r="H149" s="5">
        <f t="shared" si="9"/>
        <v>0.30000000000000004</v>
      </c>
      <c r="I149" s="4" t="s">
        <v>21</v>
      </c>
      <c r="J149" s="4" t="s">
        <v>22</v>
      </c>
      <c r="K149" s="4" t="s">
        <v>23</v>
      </c>
    </row>
    <row r="150" spans="1:11" x14ac:dyDescent="0.25">
      <c r="A150" s="15" t="s">
        <v>41</v>
      </c>
      <c r="B150" s="3">
        <v>1149</v>
      </c>
      <c r="C150" s="4">
        <v>8722</v>
      </c>
      <c r="D150" s="4" t="s">
        <v>24</v>
      </c>
      <c r="E150" s="5">
        <v>344</v>
      </c>
      <c r="F150" s="5">
        <v>502</v>
      </c>
      <c r="G150" s="5">
        <f t="shared" si="8"/>
        <v>158</v>
      </c>
      <c r="H150" s="5">
        <f t="shared" si="9"/>
        <v>31.6</v>
      </c>
      <c r="I150" s="4" t="s">
        <v>13</v>
      </c>
      <c r="J150" s="4" t="s">
        <v>14</v>
      </c>
      <c r="K150" s="4" t="s">
        <v>23</v>
      </c>
    </row>
    <row r="151" spans="1:11" x14ac:dyDescent="0.25">
      <c r="A151" s="15" t="s">
        <v>41</v>
      </c>
      <c r="B151" s="3">
        <v>1150</v>
      </c>
      <c r="C151" s="4">
        <v>2242</v>
      </c>
      <c r="D151" s="4" t="s">
        <v>32</v>
      </c>
      <c r="E151" s="5">
        <v>60</v>
      </c>
      <c r="F151" s="5">
        <v>124</v>
      </c>
      <c r="G151" s="5">
        <f t="shared" si="8"/>
        <v>64</v>
      </c>
      <c r="H151" s="5">
        <f t="shared" si="9"/>
        <v>12.8</v>
      </c>
      <c r="I151" s="4" t="s">
        <v>21</v>
      </c>
      <c r="J151" s="4" t="s">
        <v>22</v>
      </c>
      <c r="K151" s="4" t="s">
        <v>34</v>
      </c>
    </row>
    <row r="152" spans="1:11" x14ac:dyDescent="0.25">
      <c r="A152" s="15" t="s">
        <v>41</v>
      </c>
      <c r="B152" s="3">
        <v>1151</v>
      </c>
      <c r="C152" s="4">
        <v>2242</v>
      </c>
      <c r="D152" s="4" t="s">
        <v>32</v>
      </c>
      <c r="E152" s="5">
        <v>60</v>
      </c>
      <c r="F152" s="5">
        <v>124</v>
      </c>
      <c r="G152" s="5">
        <f t="shared" si="8"/>
        <v>64</v>
      </c>
      <c r="H152" s="5">
        <f t="shared" si="9"/>
        <v>12.8</v>
      </c>
      <c r="I152" s="4" t="s">
        <v>17</v>
      </c>
      <c r="J152" s="4" t="s">
        <v>18</v>
      </c>
      <c r="K152" s="4" t="s">
        <v>19</v>
      </c>
    </row>
    <row r="153" spans="1:11" x14ac:dyDescent="0.25">
      <c r="A153" s="15" t="s">
        <v>41</v>
      </c>
      <c r="B153" s="3">
        <v>1152</v>
      </c>
      <c r="C153" s="4">
        <v>4421</v>
      </c>
      <c r="D153" s="4" t="s">
        <v>29</v>
      </c>
      <c r="E153" s="5">
        <v>45</v>
      </c>
      <c r="F153" s="5">
        <v>87</v>
      </c>
      <c r="G153" s="5">
        <f t="shared" si="8"/>
        <v>42</v>
      </c>
      <c r="H153" s="5">
        <f t="shared" si="9"/>
        <v>8.4</v>
      </c>
      <c r="I153" s="4" t="s">
        <v>13</v>
      </c>
      <c r="J153" s="4" t="s">
        <v>14</v>
      </c>
      <c r="K153" s="4" t="s">
        <v>33</v>
      </c>
    </row>
    <row r="154" spans="1:11" x14ac:dyDescent="0.25">
      <c r="A154" s="15" t="s">
        <v>41</v>
      </c>
      <c r="B154" s="3">
        <v>1153</v>
      </c>
      <c r="C154" s="4">
        <v>8722</v>
      </c>
      <c r="D154" s="4" t="s">
        <v>24</v>
      </c>
      <c r="E154" s="5">
        <v>344</v>
      </c>
      <c r="F154" s="5">
        <v>502</v>
      </c>
      <c r="G154" s="5">
        <f t="shared" si="8"/>
        <v>158</v>
      </c>
      <c r="H154" s="5">
        <f t="shared" si="9"/>
        <v>31.6</v>
      </c>
      <c r="I154" s="4" t="s">
        <v>21</v>
      </c>
      <c r="J154" s="4" t="s">
        <v>22</v>
      </c>
      <c r="K154" s="4" t="s">
        <v>23</v>
      </c>
    </row>
    <row r="155" spans="1:11" x14ac:dyDescent="0.25">
      <c r="A155" s="15" t="s">
        <v>41</v>
      </c>
      <c r="B155" s="3">
        <v>1154</v>
      </c>
      <c r="C155" s="4">
        <v>9822</v>
      </c>
      <c r="D155" s="4" t="s">
        <v>12</v>
      </c>
      <c r="E155" s="5">
        <v>58.3</v>
      </c>
      <c r="F155" s="5">
        <v>98.4</v>
      </c>
      <c r="G155" s="5">
        <f t="shared" si="8"/>
        <v>40.100000000000009</v>
      </c>
      <c r="H155" s="5">
        <f t="shared" si="9"/>
        <v>8.0200000000000014</v>
      </c>
      <c r="I155" s="4" t="s">
        <v>17</v>
      </c>
      <c r="J155" s="4" t="s">
        <v>18</v>
      </c>
      <c r="K155" s="4" t="s">
        <v>33</v>
      </c>
    </row>
    <row r="156" spans="1:11" x14ac:dyDescent="0.25">
      <c r="A156" s="15" t="s">
        <v>41</v>
      </c>
      <c r="B156" s="3">
        <v>1155</v>
      </c>
      <c r="C156" s="4">
        <v>4421</v>
      </c>
      <c r="D156" s="4" t="s">
        <v>29</v>
      </c>
      <c r="E156" s="5">
        <v>45</v>
      </c>
      <c r="F156" s="5">
        <v>87</v>
      </c>
      <c r="G156" s="5">
        <f t="shared" si="8"/>
        <v>42</v>
      </c>
      <c r="H156" s="5">
        <f t="shared" si="9"/>
        <v>8.4</v>
      </c>
      <c r="I156" s="4" t="s">
        <v>21</v>
      </c>
      <c r="J156" s="4" t="s">
        <v>22</v>
      </c>
      <c r="K156" s="4" t="s">
        <v>23</v>
      </c>
    </row>
    <row r="157" spans="1:11" x14ac:dyDescent="0.25">
      <c r="A157" s="15" t="s">
        <v>41</v>
      </c>
      <c r="B157" s="3">
        <v>1156</v>
      </c>
      <c r="C157" s="4">
        <v>2242</v>
      </c>
      <c r="D157" s="4" t="s">
        <v>32</v>
      </c>
      <c r="E157" s="5">
        <v>60</v>
      </c>
      <c r="F157" s="5">
        <v>124</v>
      </c>
      <c r="G157" s="5">
        <f t="shared" si="8"/>
        <v>64</v>
      </c>
      <c r="H157" s="5">
        <f t="shared" si="9"/>
        <v>12.8</v>
      </c>
      <c r="I157" s="4" t="s">
        <v>21</v>
      </c>
      <c r="J157" s="4" t="s">
        <v>22</v>
      </c>
      <c r="K157" s="4" t="s">
        <v>19</v>
      </c>
    </row>
    <row r="158" spans="1:11" x14ac:dyDescent="0.25">
      <c r="A158" s="15" t="s">
        <v>41</v>
      </c>
      <c r="B158" s="3">
        <v>1157</v>
      </c>
      <c r="C158" s="4">
        <v>9212</v>
      </c>
      <c r="D158" s="4" t="s">
        <v>30</v>
      </c>
      <c r="E158" s="5">
        <v>4</v>
      </c>
      <c r="F158" s="5">
        <v>7</v>
      </c>
      <c r="G158" s="5">
        <f t="shared" si="8"/>
        <v>3</v>
      </c>
      <c r="H158" s="5">
        <f t="shared" si="9"/>
        <v>0.30000000000000004</v>
      </c>
      <c r="I158" s="4" t="s">
        <v>21</v>
      </c>
      <c r="J158" s="4" t="s">
        <v>22</v>
      </c>
      <c r="K158" s="4" t="s">
        <v>15</v>
      </c>
    </row>
    <row r="159" spans="1:11" x14ac:dyDescent="0.25">
      <c r="A159" s="15" t="s">
        <v>42</v>
      </c>
      <c r="B159" s="3">
        <v>1158</v>
      </c>
      <c r="C159" s="4">
        <v>8722</v>
      </c>
      <c r="D159" s="4" t="s">
        <v>24</v>
      </c>
      <c r="E159" s="5">
        <v>344</v>
      </c>
      <c r="F159" s="5">
        <v>502</v>
      </c>
      <c r="G159" s="5">
        <f t="shared" si="8"/>
        <v>158</v>
      </c>
      <c r="H159" s="5">
        <f t="shared" si="9"/>
        <v>31.6</v>
      </c>
      <c r="I159" s="4" t="s">
        <v>13</v>
      </c>
      <c r="J159" s="4" t="s">
        <v>14</v>
      </c>
      <c r="K159" s="4" t="s">
        <v>33</v>
      </c>
    </row>
    <row r="160" spans="1:11" x14ac:dyDescent="0.25">
      <c r="A160" s="15" t="s">
        <v>42</v>
      </c>
      <c r="B160" s="3">
        <v>1159</v>
      </c>
      <c r="C160" s="4">
        <v>6622</v>
      </c>
      <c r="D160" s="4" t="s">
        <v>37</v>
      </c>
      <c r="E160" s="5">
        <v>42</v>
      </c>
      <c r="F160" s="5">
        <v>77</v>
      </c>
      <c r="G160" s="5">
        <f t="shared" si="8"/>
        <v>35</v>
      </c>
      <c r="H160" s="5">
        <f t="shared" si="9"/>
        <v>7</v>
      </c>
      <c r="I160" s="4" t="s">
        <v>21</v>
      </c>
      <c r="J160" s="4" t="s">
        <v>22</v>
      </c>
      <c r="K160" s="4" t="s">
        <v>19</v>
      </c>
    </row>
    <row r="161" spans="1:11" x14ac:dyDescent="0.25">
      <c r="A161" s="15" t="s">
        <v>42</v>
      </c>
      <c r="B161" s="3">
        <v>1160</v>
      </c>
      <c r="C161" s="4">
        <v>9822</v>
      </c>
      <c r="D161" s="4" t="s">
        <v>12</v>
      </c>
      <c r="E161" s="5">
        <v>58.3</v>
      </c>
      <c r="F161" s="5">
        <v>98.4</v>
      </c>
      <c r="G161" s="5">
        <f t="shared" si="8"/>
        <v>40.100000000000009</v>
      </c>
      <c r="H161" s="5">
        <f t="shared" si="9"/>
        <v>8.0200000000000014</v>
      </c>
      <c r="I161" s="4" t="s">
        <v>26</v>
      </c>
      <c r="J161" s="4" t="s">
        <v>27</v>
      </c>
      <c r="K161" s="4" t="s">
        <v>33</v>
      </c>
    </row>
    <row r="162" spans="1:11" x14ac:dyDescent="0.25">
      <c r="A162" s="15" t="s">
        <v>42</v>
      </c>
      <c r="B162" s="3">
        <v>1161</v>
      </c>
      <c r="C162" s="4">
        <v>4421</v>
      </c>
      <c r="D162" s="4" t="s">
        <v>29</v>
      </c>
      <c r="E162" s="5">
        <v>45</v>
      </c>
      <c r="F162" s="5">
        <v>87</v>
      </c>
      <c r="G162" s="5">
        <f t="shared" ref="G162:G172" si="10">F162-E162</f>
        <v>42</v>
      </c>
      <c r="H162" s="5">
        <f t="shared" ref="H162:H172" si="11">IF(F162&gt;50,G162*0.2,G162*0.1)</f>
        <v>8.4</v>
      </c>
      <c r="I162" s="4" t="s">
        <v>17</v>
      </c>
      <c r="J162" s="4" t="s">
        <v>18</v>
      </c>
      <c r="K162" s="4" t="s">
        <v>19</v>
      </c>
    </row>
    <row r="163" spans="1:11" x14ac:dyDescent="0.25">
      <c r="A163" s="15" t="s">
        <v>42</v>
      </c>
      <c r="B163" s="3">
        <v>1162</v>
      </c>
      <c r="C163" s="4">
        <v>9212</v>
      </c>
      <c r="D163" s="4" t="s">
        <v>30</v>
      </c>
      <c r="E163" s="5">
        <v>4</v>
      </c>
      <c r="F163" s="5">
        <v>7</v>
      </c>
      <c r="G163" s="5">
        <f t="shared" si="10"/>
        <v>3</v>
      </c>
      <c r="H163" s="5">
        <f t="shared" si="11"/>
        <v>0.30000000000000004</v>
      </c>
      <c r="I163" s="4" t="s">
        <v>13</v>
      </c>
      <c r="J163" s="4" t="s">
        <v>14</v>
      </c>
      <c r="K163" s="4" t="s">
        <v>23</v>
      </c>
    </row>
    <row r="164" spans="1:11" x14ac:dyDescent="0.25">
      <c r="A164" s="15" t="s">
        <v>42</v>
      </c>
      <c r="B164" s="3">
        <v>1163</v>
      </c>
      <c r="C164" s="4">
        <v>9212</v>
      </c>
      <c r="D164" s="4" t="s">
        <v>30</v>
      </c>
      <c r="E164" s="5">
        <v>4</v>
      </c>
      <c r="F164" s="5">
        <v>7</v>
      </c>
      <c r="G164" s="5">
        <f t="shared" si="10"/>
        <v>3</v>
      </c>
      <c r="H164" s="5">
        <f t="shared" si="11"/>
        <v>0.30000000000000004</v>
      </c>
      <c r="I164" s="4" t="s">
        <v>21</v>
      </c>
      <c r="J164" s="4" t="s">
        <v>22</v>
      </c>
      <c r="K164" s="4" t="s">
        <v>19</v>
      </c>
    </row>
    <row r="165" spans="1:11" x14ac:dyDescent="0.25">
      <c r="A165" s="15" t="s">
        <v>42</v>
      </c>
      <c r="B165" s="3">
        <v>1164</v>
      </c>
      <c r="C165" s="4">
        <v>9822</v>
      </c>
      <c r="D165" s="4" t="s">
        <v>12</v>
      </c>
      <c r="E165" s="5">
        <v>58.3</v>
      </c>
      <c r="F165" s="5">
        <v>98.4</v>
      </c>
      <c r="G165" s="5">
        <f t="shared" si="10"/>
        <v>40.100000000000009</v>
      </c>
      <c r="H165" s="5">
        <f t="shared" si="11"/>
        <v>8.0200000000000014</v>
      </c>
      <c r="I165" s="4" t="s">
        <v>21</v>
      </c>
      <c r="J165" s="4" t="s">
        <v>22</v>
      </c>
      <c r="K165" s="4" t="s">
        <v>23</v>
      </c>
    </row>
    <row r="166" spans="1:11" x14ac:dyDescent="0.25">
      <c r="A166" s="15" t="s">
        <v>42</v>
      </c>
      <c r="B166" s="3">
        <v>1165</v>
      </c>
      <c r="C166" s="4">
        <v>9822</v>
      </c>
      <c r="D166" s="4" t="s">
        <v>12</v>
      </c>
      <c r="E166" s="5">
        <v>58.3</v>
      </c>
      <c r="F166" s="5">
        <v>98.4</v>
      </c>
      <c r="G166" s="5">
        <f t="shared" si="10"/>
        <v>40.100000000000009</v>
      </c>
      <c r="H166" s="5">
        <f t="shared" si="11"/>
        <v>8.0200000000000014</v>
      </c>
      <c r="I166" s="4" t="s">
        <v>21</v>
      </c>
      <c r="J166" s="4" t="s">
        <v>22</v>
      </c>
      <c r="K166" s="4" t="s">
        <v>23</v>
      </c>
    </row>
    <row r="167" spans="1:11" x14ac:dyDescent="0.25">
      <c r="A167" s="15" t="s">
        <v>42</v>
      </c>
      <c r="B167" s="3">
        <v>1166</v>
      </c>
      <c r="C167" s="4">
        <v>8722</v>
      </c>
      <c r="D167" s="4" t="s">
        <v>24</v>
      </c>
      <c r="E167" s="5">
        <v>344</v>
      </c>
      <c r="F167" s="5">
        <v>502</v>
      </c>
      <c r="G167" s="5">
        <f t="shared" si="10"/>
        <v>158</v>
      </c>
      <c r="H167" s="5">
        <f t="shared" si="11"/>
        <v>31.6</v>
      </c>
      <c r="I167" s="4" t="s">
        <v>21</v>
      </c>
      <c r="J167" s="4" t="s">
        <v>22</v>
      </c>
      <c r="K167" s="4" t="s">
        <v>33</v>
      </c>
    </row>
    <row r="168" spans="1:11" x14ac:dyDescent="0.25">
      <c r="A168" s="15" t="s">
        <v>42</v>
      </c>
      <c r="B168" s="3">
        <v>1167</v>
      </c>
      <c r="C168" s="4">
        <v>2242</v>
      </c>
      <c r="D168" s="4" t="s">
        <v>32</v>
      </c>
      <c r="E168" s="5">
        <v>60</v>
      </c>
      <c r="F168" s="5">
        <v>124</v>
      </c>
      <c r="G168" s="5">
        <f t="shared" si="10"/>
        <v>64</v>
      </c>
      <c r="H168" s="5">
        <f t="shared" si="11"/>
        <v>12.8</v>
      </c>
      <c r="I168" s="4" t="s">
        <v>21</v>
      </c>
      <c r="J168" s="4" t="s">
        <v>22</v>
      </c>
      <c r="K168" s="4" t="s">
        <v>15</v>
      </c>
    </row>
    <row r="169" spans="1:11" x14ac:dyDescent="0.25">
      <c r="A169" s="15" t="s">
        <v>42</v>
      </c>
      <c r="B169" s="3">
        <v>1168</v>
      </c>
      <c r="C169" s="4">
        <v>9822</v>
      </c>
      <c r="D169" s="4" t="s">
        <v>12</v>
      </c>
      <c r="E169" s="5">
        <v>58.3</v>
      </c>
      <c r="F169" s="5">
        <v>98.4</v>
      </c>
      <c r="G169" s="5">
        <f t="shared" si="10"/>
        <v>40.100000000000009</v>
      </c>
      <c r="H169" s="5">
        <f t="shared" si="11"/>
        <v>8.0200000000000014</v>
      </c>
      <c r="I169" s="4" t="s">
        <v>21</v>
      </c>
      <c r="J169" s="4" t="s">
        <v>22</v>
      </c>
      <c r="K169" s="4" t="s">
        <v>19</v>
      </c>
    </row>
    <row r="170" spans="1:11" x14ac:dyDescent="0.25">
      <c r="A170" s="15" t="s">
        <v>42</v>
      </c>
      <c r="B170" s="3">
        <v>1169</v>
      </c>
      <c r="C170" s="4">
        <v>8722</v>
      </c>
      <c r="D170" s="4" t="s">
        <v>24</v>
      </c>
      <c r="E170" s="5">
        <v>344</v>
      </c>
      <c r="F170" s="5">
        <v>502</v>
      </c>
      <c r="G170" s="5">
        <f t="shared" si="10"/>
        <v>158</v>
      </c>
      <c r="H170" s="5">
        <f t="shared" si="11"/>
        <v>31.6</v>
      </c>
      <c r="I170" s="4" t="s">
        <v>21</v>
      </c>
      <c r="J170" s="4" t="s">
        <v>22</v>
      </c>
      <c r="K170" s="4" t="s">
        <v>34</v>
      </c>
    </row>
    <row r="171" spans="1:11" x14ac:dyDescent="0.25">
      <c r="A171" s="15" t="s">
        <v>42</v>
      </c>
      <c r="B171" s="3">
        <v>1170</v>
      </c>
      <c r="C171" s="4">
        <v>4421</v>
      </c>
      <c r="D171" s="4" t="s">
        <v>29</v>
      </c>
      <c r="E171" s="5">
        <v>45</v>
      </c>
      <c r="F171" s="5">
        <v>87</v>
      </c>
      <c r="G171" s="5">
        <f t="shared" si="10"/>
        <v>42</v>
      </c>
      <c r="H171" s="5">
        <f t="shared" si="11"/>
        <v>8.4</v>
      </c>
      <c r="I171" s="4" t="s">
        <v>13</v>
      </c>
      <c r="J171" s="4" t="s">
        <v>14</v>
      </c>
      <c r="K171" s="4" t="s">
        <v>19</v>
      </c>
    </row>
    <row r="172" spans="1:11" x14ac:dyDescent="0.25">
      <c r="A172" s="15" t="s">
        <v>42</v>
      </c>
      <c r="B172" s="3">
        <v>1171</v>
      </c>
      <c r="C172" s="4">
        <v>4421</v>
      </c>
      <c r="D172" s="4" t="s">
        <v>29</v>
      </c>
      <c r="E172" s="5">
        <v>45</v>
      </c>
      <c r="F172" s="5">
        <v>87</v>
      </c>
      <c r="G172" s="5">
        <f t="shared" si="10"/>
        <v>42</v>
      </c>
      <c r="H172" s="5">
        <f t="shared" si="11"/>
        <v>8.4</v>
      </c>
      <c r="I172" s="4" t="s">
        <v>17</v>
      </c>
      <c r="J172" s="4" t="s">
        <v>18</v>
      </c>
      <c r="K172" s="4" t="s">
        <v>33</v>
      </c>
    </row>
    <row r="173" spans="1:11" x14ac:dyDescent="0.25">
      <c r="A173" s="14"/>
      <c r="F173" s="2"/>
    </row>
    <row r="174" spans="1:11" x14ac:dyDescent="0.25">
      <c r="A174" s="14"/>
      <c r="F174" s="1"/>
    </row>
    <row r="175" spans="1:11" x14ac:dyDescent="0.25">
      <c r="A175" s="14"/>
      <c r="E175" s="2">
        <f>SUM(F2:F172)</f>
        <v>17110.599999999995</v>
      </c>
      <c r="F175" s="1">
        <f>SUM(G2:G172)</f>
        <v>6356.7000000000025</v>
      </c>
    </row>
    <row r="176" spans="1:11" x14ac:dyDescent="0.25">
      <c r="F176" s="2"/>
      <c r="G176" s="2"/>
    </row>
    <row r="177" spans="7:7" x14ac:dyDescent="0.25">
      <c r="G177" s="10">
        <f>(F175/E175)*100%</f>
        <v>0.37150655149439554</v>
      </c>
    </row>
  </sheetData>
  <sortState xmlns:xlrd2="http://schemas.microsoft.com/office/spreadsheetml/2017/richdata2" ref="A2:A172">
    <sortCondition ref="A2:A172" customList="Jan,Feb,Mar,Apr,May,Jun,Jul,Aug,Sep,Oct,Nov,Dec"/>
  </sortState>
  <phoneticPr fontId="3"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47244-0430-47BD-B850-F0773711EBD3}">
  <dimension ref="A1:X83"/>
  <sheetViews>
    <sheetView showGridLines="0" workbookViewId="0">
      <selection activeCell="W4" sqref="W4:X17"/>
    </sheetView>
  </sheetViews>
  <sheetFormatPr defaultRowHeight="15" x14ac:dyDescent="0.25"/>
  <cols>
    <col min="1" max="1" width="13.42578125" bestFit="1" customWidth="1"/>
    <col min="2" max="2" width="16.28515625" bestFit="1" customWidth="1"/>
    <col min="4" max="4" width="14.7109375" bestFit="1" customWidth="1"/>
    <col min="5" max="5" width="12.5703125" bestFit="1" customWidth="1"/>
    <col min="23" max="23" width="13.140625" bestFit="1" customWidth="1"/>
    <col min="24" max="24" width="16.28515625" bestFit="1" customWidth="1"/>
  </cols>
  <sheetData>
    <row r="1" spans="1:24" x14ac:dyDescent="0.25">
      <c r="A1" s="7" t="s">
        <v>60</v>
      </c>
      <c r="B1" s="2">
        <f>SUM(DATA!F2:F172)</f>
        <v>17110.599999999995</v>
      </c>
      <c r="D1" s="7" t="s">
        <v>48</v>
      </c>
      <c r="E1" s="2">
        <f>SUM(DATA!G2:G172)</f>
        <v>6356.7000000000025</v>
      </c>
    </row>
    <row r="2" spans="1:24" x14ac:dyDescent="0.25">
      <c r="D2" s="7" t="s">
        <v>49</v>
      </c>
      <c r="E2" s="2">
        <f>SUM(DATA!E2:E172)</f>
        <v>10753.899999999998</v>
      </c>
    </row>
    <row r="3" spans="1:24" x14ac:dyDescent="0.25">
      <c r="A3" s="7" t="s">
        <v>43</v>
      </c>
      <c r="B3" s="2">
        <f>AVERAGE(DATA!F2:F172)</f>
        <v>100.06198830409353</v>
      </c>
    </row>
    <row r="4" spans="1:24" x14ac:dyDescent="0.25">
      <c r="W4" s="8" t="s">
        <v>45</v>
      </c>
      <c r="X4" t="s">
        <v>47</v>
      </c>
    </row>
    <row r="5" spans="1:24" x14ac:dyDescent="0.25">
      <c r="A5" t="s">
        <v>44</v>
      </c>
      <c r="W5" s="9" t="s">
        <v>11</v>
      </c>
      <c r="X5" s="19">
        <v>1409.4999999999998</v>
      </c>
    </row>
    <row r="6" spans="1:24" x14ac:dyDescent="0.25">
      <c r="A6" s="8" t="s">
        <v>45</v>
      </c>
      <c r="B6" t="s">
        <v>47</v>
      </c>
      <c r="W6" s="9" t="s">
        <v>31</v>
      </c>
      <c r="X6" s="19">
        <v>841.40000000000009</v>
      </c>
    </row>
    <row r="7" spans="1:24" x14ac:dyDescent="0.25">
      <c r="A7" s="9" t="s">
        <v>30</v>
      </c>
      <c r="B7" s="2">
        <v>77</v>
      </c>
      <c r="W7" s="9" t="s">
        <v>36</v>
      </c>
      <c r="X7" s="19">
        <v>1421.3999999999999</v>
      </c>
    </row>
    <row r="8" spans="1:24" x14ac:dyDescent="0.25">
      <c r="A8" s="9" t="s">
        <v>37</v>
      </c>
      <c r="B8" s="2">
        <v>693</v>
      </c>
      <c r="W8" s="9" t="s">
        <v>55</v>
      </c>
      <c r="X8" s="19">
        <v>1089.7</v>
      </c>
    </row>
    <row r="9" spans="1:24" x14ac:dyDescent="0.25">
      <c r="A9" s="9" t="s">
        <v>20</v>
      </c>
      <c r="B9" s="2">
        <v>183.99999999999994</v>
      </c>
      <c r="W9" s="9" t="s">
        <v>38</v>
      </c>
      <c r="X9" s="19">
        <v>214.4</v>
      </c>
    </row>
    <row r="10" spans="1:24" x14ac:dyDescent="0.25">
      <c r="A10" s="9" t="s">
        <v>35</v>
      </c>
      <c r="B10" s="2">
        <v>210</v>
      </c>
      <c r="W10" s="9" t="s">
        <v>56</v>
      </c>
      <c r="X10" s="19">
        <v>409.90000000000003</v>
      </c>
    </row>
    <row r="11" spans="1:24" x14ac:dyDescent="0.25">
      <c r="A11" s="9" t="s">
        <v>32</v>
      </c>
      <c r="B11" s="2">
        <v>1984</v>
      </c>
      <c r="W11" s="9" t="s">
        <v>57</v>
      </c>
      <c r="X11" s="19">
        <v>186.10000000000002</v>
      </c>
    </row>
    <row r="12" spans="1:24" x14ac:dyDescent="0.25">
      <c r="A12" s="9" t="s">
        <v>25</v>
      </c>
      <c r="B12" s="2">
        <v>160</v>
      </c>
      <c r="W12" s="9" t="s">
        <v>39</v>
      </c>
      <c r="X12" s="19">
        <v>2253</v>
      </c>
    </row>
    <row r="13" spans="1:24" x14ac:dyDescent="0.25">
      <c r="A13" s="9" t="s">
        <v>16</v>
      </c>
      <c r="B13" s="2">
        <v>391.20000000000016</v>
      </c>
      <c r="W13" s="9" t="s">
        <v>58</v>
      </c>
      <c r="X13" s="19">
        <v>2508.2000000000003</v>
      </c>
    </row>
    <row r="14" spans="1:24" x14ac:dyDescent="0.25">
      <c r="A14" s="9" t="s">
        <v>12</v>
      </c>
      <c r="B14" s="2">
        <v>2066.4000000000005</v>
      </c>
      <c r="W14" s="9" t="s">
        <v>40</v>
      </c>
      <c r="X14" s="19">
        <v>1927.6</v>
      </c>
    </row>
    <row r="15" spans="1:24" x14ac:dyDescent="0.25">
      <c r="A15" s="9" t="s">
        <v>29</v>
      </c>
      <c r="B15" s="2">
        <v>1305</v>
      </c>
      <c r="W15" s="9" t="s">
        <v>41</v>
      </c>
      <c r="X15" s="19">
        <v>2473.8000000000002</v>
      </c>
    </row>
    <row r="16" spans="1:24" x14ac:dyDescent="0.25">
      <c r="A16" s="9" t="s">
        <v>24</v>
      </c>
      <c r="B16" s="2">
        <v>10040</v>
      </c>
      <c r="W16" s="9" t="s">
        <v>42</v>
      </c>
      <c r="X16" s="19">
        <v>2375.6</v>
      </c>
    </row>
    <row r="17" spans="1:24" x14ac:dyDescent="0.25">
      <c r="A17" s="9" t="s">
        <v>46</v>
      </c>
      <c r="B17" s="2">
        <v>17110.599999999999</v>
      </c>
      <c r="W17" s="9" t="s">
        <v>46</v>
      </c>
      <c r="X17" s="19">
        <v>17110.599999999999</v>
      </c>
    </row>
    <row r="19" spans="1:24" x14ac:dyDescent="0.25">
      <c r="A19" s="11" t="s">
        <v>50</v>
      </c>
      <c r="B19" s="18">
        <f>DATA!G177</f>
        <v>0.37150655149439554</v>
      </c>
    </row>
    <row r="21" spans="1:24" x14ac:dyDescent="0.25">
      <c r="A21" s="7" t="s">
        <v>51</v>
      </c>
    </row>
    <row r="22" spans="1:24" x14ac:dyDescent="0.25">
      <c r="A22" s="8" t="s">
        <v>45</v>
      </c>
      <c r="B22" t="s">
        <v>52</v>
      </c>
    </row>
    <row r="23" spans="1:24" x14ac:dyDescent="0.25">
      <c r="A23" s="9" t="s">
        <v>30</v>
      </c>
      <c r="B23" s="13">
        <v>3.3</v>
      </c>
    </row>
    <row r="24" spans="1:24" x14ac:dyDescent="0.25">
      <c r="A24" s="9" t="s">
        <v>37</v>
      </c>
      <c r="B24" s="13">
        <v>63</v>
      </c>
    </row>
    <row r="25" spans="1:24" x14ac:dyDescent="0.25">
      <c r="A25" s="9" t="s">
        <v>20</v>
      </c>
      <c r="B25" s="13">
        <v>5.9999999999999973</v>
      </c>
    </row>
    <row r="26" spans="1:24" x14ac:dyDescent="0.25">
      <c r="A26" s="9" t="s">
        <v>35</v>
      </c>
      <c r="B26" s="13">
        <v>7.5</v>
      </c>
    </row>
    <row r="27" spans="1:24" x14ac:dyDescent="0.25">
      <c r="A27" s="9" t="s">
        <v>32</v>
      </c>
      <c r="B27" s="13">
        <v>204.80000000000004</v>
      </c>
    </row>
    <row r="28" spans="1:24" x14ac:dyDescent="0.25">
      <c r="A28" s="9" t="s">
        <v>25</v>
      </c>
      <c r="B28" s="13">
        <v>10</v>
      </c>
    </row>
    <row r="29" spans="1:24" x14ac:dyDescent="0.25">
      <c r="A29" s="9" t="s">
        <v>16</v>
      </c>
      <c r="B29" s="13">
        <v>11.760000000000003</v>
      </c>
    </row>
    <row r="30" spans="1:24" x14ac:dyDescent="0.25">
      <c r="A30" s="9" t="s">
        <v>12</v>
      </c>
      <c r="B30" s="13">
        <v>168.42000000000004</v>
      </c>
    </row>
    <row r="31" spans="1:24" x14ac:dyDescent="0.25">
      <c r="A31" s="9" t="s">
        <v>29</v>
      </c>
      <c r="B31" s="13">
        <v>126.00000000000004</v>
      </c>
    </row>
    <row r="32" spans="1:24" x14ac:dyDescent="0.25">
      <c r="A32" s="9" t="s">
        <v>24</v>
      </c>
      <c r="B32" s="13">
        <v>632.00000000000023</v>
      </c>
    </row>
    <row r="33" spans="1:2" x14ac:dyDescent="0.25">
      <c r="A33" s="9" t="s">
        <v>46</v>
      </c>
      <c r="B33" s="13">
        <v>1232.7800000000002</v>
      </c>
    </row>
    <row r="35" spans="1:2" x14ac:dyDescent="0.25">
      <c r="A35" s="11" t="s">
        <v>54</v>
      </c>
    </row>
    <row r="36" spans="1:2" x14ac:dyDescent="0.25">
      <c r="A36" s="8" t="s">
        <v>45</v>
      </c>
      <c r="B36" t="s">
        <v>53</v>
      </c>
    </row>
    <row r="37" spans="1:2" x14ac:dyDescent="0.25">
      <c r="A37" s="9" t="s">
        <v>23</v>
      </c>
      <c r="B37" s="13">
        <v>1979.0999999999995</v>
      </c>
    </row>
    <row r="38" spans="1:2" x14ac:dyDescent="0.25">
      <c r="A38" s="9" t="s">
        <v>19</v>
      </c>
      <c r="B38" s="13">
        <v>1485.0999999999997</v>
      </c>
    </row>
    <row r="39" spans="1:2" x14ac:dyDescent="0.25">
      <c r="A39" s="9" t="s">
        <v>28</v>
      </c>
      <c r="B39" s="13">
        <v>23.799999999999997</v>
      </c>
    </row>
    <row r="40" spans="1:2" x14ac:dyDescent="0.25">
      <c r="A40" s="9" t="s">
        <v>15</v>
      </c>
      <c r="B40" s="13">
        <v>681.8</v>
      </c>
    </row>
    <row r="41" spans="1:2" x14ac:dyDescent="0.25">
      <c r="A41" s="9" t="s">
        <v>33</v>
      </c>
      <c r="B41" s="13">
        <v>1710.1</v>
      </c>
    </row>
    <row r="42" spans="1:2" x14ac:dyDescent="0.25">
      <c r="A42" s="9" t="s">
        <v>34</v>
      </c>
      <c r="B42" s="13">
        <v>476.8</v>
      </c>
    </row>
    <row r="43" spans="1:2" x14ac:dyDescent="0.25">
      <c r="A43" s="9" t="s">
        <v>46</v>
      </c>
      <c r="B43" s="13">
        <v>6356.7</v>
      </c>
    </row>
    <row r="45" spans="1:2" x14ac:dyDescent="0.25">
      <c r="A45" s="9" t="s">
        <v>61</v>
      </c>
    </row>
    <row r="61" spans="1:2" x14ac:dyDescent="0.25">
      <c r="A61" s="9" t="s">
        <v>59</v>
      </c>
    </row>
    <row r="62" spans="1:2" x14ac:dyDescent="0.25">
      <c r="A62" s="8" t="s">
        <v>45</v>
      </c>
      <c r="B62" t="s">
        <v>47</v>
      </c>
    </row>
    <row r="63" spans="1:2" x14ac:dyDescent="0.25">
      <c r="A63" s="9" t="s">
        <v>24</v>
      </c>
      <c r="B63" s="19">
        <v>10040</v>
      </c>
    </row>
    <row r="64" spans="1:2" x14ac:dyDescent="0.25">
      <c r="A64" s="9" t="s">
        <v>29</v>
      </c>
      <c r="B64" s="19">
        <v>1305</v>
      </c>
    </row>
    <row r="65" spans="1:2" x14ac:dyDescent="0.25">
      <c r="A65" s="9" t="s">
        <v>12</v>
      </c>
      <c r="B65" s="19">
        <v>2066.4000000000005</v>
      </c>
    </row>
    <row r="66" spans="1:2" x14ac:dyDescent="0.25">
      <c r="A66" s="9" t="s">
        <v>32</v>
      </c>
      <c r="B66" s="19">
        <v>1984</v>
      </c>
    </row>
    <row r="67" spans="1:2" x14ac:dyDescent="0.25">
      <c r="A67" s="9" t="s">
        <v>37</v>
      </c>
      <c r="B67" s="19">
        <v>693</v>
      </c>
    </row>
    <row r="68" spans="1:2" x14ac:dyDescent="0.25">
      <c r="A68" s="9" t="s">
        <v>46</v>
      </c>
      <c r="B68" s="19">
        <v>16088.400000000001</v>
      </c>
    </row>
    <row r="70" spans="1:2" x14ac:dyDescent="0.25">
      <c r="A70" s="8" t="s">
        <v>45</v>
      </c>
      <c r="B70" t="s">
        <v>47</v>
      </c>
    </row>
    <row r="71" spans="1:2" x14ac:dyDescent="0.25">
      <c r="A71" s="9" t="s">
        <v>11</v>
      </c>
      <c r="B71" s="19">
        <v>1409.4999999999998</v>
      </c>
    </row>
    <row r="72" spans="1:2" x14ac:dyDescent="0.25">
      <c r="A72" s="9" t="s">
        <v>31</v>
      </c>
      <c r="B72" s="19">
        <v>841.40000000000009</v>
      </c>
    </row>
    <row r="73" spans="1:2" x14ac:dyDescent="0.25">
      <c r="A73" s="9" t="s">
        <v>36</v>
      </c>
      <c r="B73" s="19">
        <v>1421.3999999999999</v>
      </c>
    </row>
    <row r="74" spans="1:2" x14ac:dyDescent="0.25">
      <c r="A74" s="9" t="s">
        <v>55</v>
      </c>
      <c r="B74" s="19">
        <v>1089.7</v>
      </c>
    </row>
    <row r="75" spans="1:2" x14ac:dyDescent="0.25">
      <c r="A75" s="9" t="s">
        <v>38</v>
      </c>
      <c r="B75" s="19">
        <v>214.4</v>
      </c>
    </row>
    <row r="76" spans="1:2" x14ac:dyDescent="0.25">
      <c r="A76" s="9" t="s">
        <v>56</v>
      </c>
      <c r="B76" s="19">
        <v>409.90000000000003</v>
      </c>
    </row>
    <row r="77" spans="1:2" x14ac:dyDescent="0.25">
      <c r="A77" s="9" t="s">
        <v>57</v>
      </c>
      <c r="B77" s="19">
        <v>186.10000000000002</v>
      </c>
    </row>
    <row r="78" spans="1:2" x14ac:dyDescent="0.25">
      <c r="A78" s="9" t="s">
        <v>39</v>
      </c>
      <c r="B78" s="19">
        <v>2253</v>
      </c>
    </row>
    <row r="79" spans="1:2" x14ac:dyDescent="0.25">
      <c r="A79" s="9" t="s">
        <v>58</v>
      </c>
      <c r="B79" s="19">
        <v>2508.2000000000003</v>
      </c>
    </row>
    <row r="80" spans="1:2" x14ac:dyDescent="0.25">
      <c r="A80" s="9" t="s">
        <v>40</v>
      </c>
      <c r="B80" s="19">
        <v>1927.6</v>
      </c>
    </row>
    <row r="81" spans="1:2" x14ac:dyDescent="0.25">
      <c r="A81" s="9" t="s">
        <v>41</v>
      </c>
      <c r="B81" s="19">
        <v>2473.8000000000002</v>
      </c>
    </row>
    <row r="82" spans="1:2" x14ac:dyDescent="0.25">
      <c r="A82" s="9" t="s">
        <v>42</v>
      </c>
      <c r="B82" s="19">
        <v>2375.6</v>
      </c>
    </row>
    <row r="83" spans="1:2" x14ac:dyDescent="0.25">
      <c r="A83" s="9" t="s">
        <v>46</v>
      </c>
      <c r="B83" s="19">
        <v>17110.599999999999</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D3933-FC46-41C7-8304-A692F3BA07C6}">
  <dimension ref="T5"/>
  <sheetViews>
    <sheetView showGridLines="0" tabSelected="1" zoomScale="110" zoomScaleNormal="110" workbookViewId="0">
      <selection activeCell="S22" sqref="S22"/>
    </sheetView>
  </sheetViews>
  <sheetFormatPr defaultRowHeight="15" x14ac:dyDescent="0.25"/>
  <cols>
    <col min="1" max="19" width="9.140625" style="16"/>
    <col min="20" max="20" width="12.140625" style="16" bestFit="1" customWidth="1"/>
    <col min="21" max="16384" width="9.140625" style="16"/>
  </cols>
  <sheetData>
    <row r="5" spans="20:20" x14ac:dyDescent="0.25">
      <c r="T5"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2025-08-12T20:16:25Z</dcterms:created>
  <dcterms:modified xsi:type="dcterms:W3CDTF">2025-08-16T00:36:33Z</dcterms:modified>
</cp:coreProperties>
</file>